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cccc928b4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82026" sheetId="1" r:id="Rf52a057c0ccc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b/>
      <x:sz val="12"/>
      <x:color rgb="FF000000"/>
      <x:name val="Arial"/>
    </x:font>
    <x:font>
      <x:sz val="12"/>
      <x:color theme="1"/>
      <x:name val="Arial"/>
    </x:font>
    <x:font>
      <x:color theme="1"/>
      <x:name val="Arial"/>
    </x:font>
    <x:font>
      <x:b/>
      <x:sz val="12"/>
      <x:color theme="1"/>
      <x:name val="Arial"/>
    </x:font>
    <x:font>
      <x:sz val="13"/>
      <x:color theme="1"/>
      <x:name val="Arial"/>
    </x:font>
  </x:fonts>
  <x:fills count="9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57BB8A"/>
      </x:patternFill>
    </x:fill>
    <x:fill>
      <x:patternFill patternType="solid">
        <x:fgColor theme="7"/>
      </x:patternFill>
    </x:fill>
    <x:fill>
      <x:patternFill patternType="solid">
        <x:fgColor theme="6"/>
      </x:patternFill>
    </x:fill>
    <x:fill>
      <x:patternFill patternType="solid">
        <x:fgColor theme="5"/>
      </x:patternFill>
    </x:fill>
    <x:fill>
      <x:patternFill patternType="solid">
        <x:fgColor theme="9"/>
      </x:patternFill>
    </x:fill>
    <x:fill>
      <x:patternFill patternType="solid">
        <x:fgColor theme="4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4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/>
    </x:xf>
    <x:xf numFmtId="1" fontId="1" fillId="2" borderId="1" xfId="0" applyNumberFormat="1" applyFont="1" applyFill="1" applyBorder="1" applyAlignment="1">
      <x:alignment horizontal="center" vertical="bottom"/>
    </x:xf>
    <x:xf numFmtId="0" fontId="1" fillId="2" borderId="1" xfId="0" applyFont="1" applyFill="1" applyBorder="1" applyAlignment="1">
      <x:alignment horizontal="center" vertical="bottom"/>
    </x:xf>
    <x:xf numFmtId="0" fontId="1" fillId="2" borderId="1" xfId="0" applyFont="1" applyFill="1" applyBorder="1" applyAlignment="1">
      <x:alignment horizontal="center" vertical="bottom"/>
    </x:xf>
    <x:xf numFmtId="0" fontId="2" fillId="2" borderId="1" xfId="0" applyFont="1" applyFill="1" applyBorder="1" applyAlignment="1">
      <x:alignment horizontal="center" vertical="bottom"/>
    </x:xf>
    <x:xf numFmtId="0" fontId="2" fillId="2" borderId="1" xfId="0" applyFont="1" applyFill="1" applyBorder="1" applyAlignment="1">
      <x:alignment horizontal="left" vertical="bottom"/>
    </x:xf>
    <x:xf numFmtId="0" fontId="2" fillId="0" borderId="1" xfId="0" applyFont="1" applyBorder="1" applyAlignment="1">
      <x:alignment horizontal="center" vertical="bottom"/>
    </x:xf>
    <x:xf numFmtId="0" fontId="2" fillId="3" borderId="1" xfId="0" applyFont="1" applyFill="1" applyBorder="1" applyAlignment="1">
      <x:alignment horizontal="center" vertical="bottom"/>
    </x:xf>
    <x:xf numFmtId="0" fontId="2" fillId="2" borderId="1" xfId="0" applyFont="1" applyFill="1" applyBorder="1" applyAlignment="1">
      <x:alignment horizontal="left" vertical="bottom"/>
    </x:xf>
    <x:xf numFmtId="0" fontId="2" fillId="2" borderId="1" xfId="0" applyFont="1" applyFill="1" applyBorder="1" applyAlignment="1">
      <x:alignment horizontal="center" vertical="bottom"/>
    </x:xf>
    <x:xf numFmtId="0" fontId="2" fillId="4" borderId="1" xfId="0" applyFont="1" applyFill="1" applyBorder="1" applyAlignment="1">
      <x:alignment horizontal="left" vertical="bottom"/>
    </x:xf>
    <x:xf numFmtId="0" fontId="2" fillId="0" borderId="1" xfId="0" applyFont="1" applyBorder="1" applyAlignment="1">
      <x:alignment horizontal="center" vertical="bottom"/>
    </x:xf>
    <x:xf numFmtId="0" fontId="2" fillId="0" borderId="1" xfId="0" applyFont="1" applyBorder="1" applyAlignment="1">
      <x:alignment horizontal="left" vertical="bottom"/>
    </x:xf>
    <x:xf numFmtId="0" fontId="2" fillId="5" borderId="1" xfId="0" applyFont="1" applyFill="1" applyBorder="1" applyAlignment="1">
      <x:alignment horizontal="left" vertical="bottom"/>
    </x:xf>
    <x:xf numFmtId="0" fontId="2" fillId="5" borderId="1" xfId="0" applyFont="1" applyFill="1" applyBorder="1" applyAlignment="1">
      <x:alignment horizontal="left" vertical="bottom"/>
    </x:xf>
    <x:xf numFmtId="0" fontId="2" fillId="0" borderId="1" xfId="0" applyFont="1" applyBorder="1" applyAlignment="1">
      <x:alignment horizontal="left" vertical="bottom"/>
    </x:xf>
    <x:xf numFmtId="0" fontId="2" fillId="6" borderId="1" xfId="0" applyFont="1" applyFill="1" applyBorder="1" applyAlignment="1">
      <x:alignment horizontal="left" vertical="bottom"/>
    </x:xf>
    <x:xf numFmtId="0" fontId="2" fillId="6" borderId="1" xfId="0" applyFont="1" applyFill="1" applyBorder="1" applyAlignment="1">
      <x:alignment horizontal="left" vertical="bottom"/>
    </x:xf>
    <x:xf numFmtId="0" fontId="2" fillId="7" borderId="1" xfId="0" applyFont="1" applyFill="1" applyBorder="1" applyAlignment="1">
      <x:alignment horizontal="left" vertical="bottom"/>
    </x:xf>
    <x:xf numFmtId="0" fontId="2" fillId="7" borderId="1" xfId="0" applyFont="1" applyFill="1" applyBorder="1" applyAlignment="1">
      <x:alignment horizontal="left" vertical="bottom"/>
    </x:xf>
    <x:xf numFmtId="0" fontId="2" fillId="8" borderId="1" xfId="0" applyFont="1" applyFill="1" applyBorder="1" applyAlignment="1">
      <x:alignment horizontal="left" vertical="bottom"/>
    </x:xf>
    <x:xf numFmtId="0" fontId="2" fillId="8" borderId="1" xfId="0" applyFont="1" applyFill="1" applyBorder="1" applyAlignment="1">
      <x:alignment horizontal="left" vertical="bottom"/>
    </x:xf>
    <x:xf numFmtId="0" fontId="3" fillId="0" borderId="0" xfId="0" applyFont="1"/>
    <x:xf numFmtId="1" fontId="2" fillId="2" borderId="1" xfId="0" applyNumberFormat="1" applyFont="1" applyFill="1" applyBorder="1" applyAlignment="1">
      <x:alignment horizontal="center" vertical="bottom"/>
    </x:xf>
    <x:xf numFmtId="1" fontId="2" fillId="2" borderId="1" xfId="0" applyNumberFormat="1" applyFont="1" applyFill="1" applyBorder="1" applyAlignment="1">
      <x:alignment horizontal="center" vertical="bottom"/>
    </x:xf>
    <x:xf numFmtId="1" fontId="2" fillId="0" borderId="1" xfId="0" applyNumberFormat="1" applyFont="1" applyBorder="1" applyAlignment="1">
      <x:alignment horizontal="center" vertical="bottom"/>
    </x:xf>
    <x:xf numFmtId="1" fontId="2" fillId="0" borderId="1" xfId="0" applyNumberFormat="1" applyFont="1" applyBorder="1" applyAlignment="1">
      <x:alignment horizontal="center" vertical="bottom"/>
    </x:xf>
    <x:xf numFmtId="0" fontId="4" fillId="2" borderId="1" xfId="0" applyFont="1" applyFill="1" applyBorder="1" applyAlignment="1">
      <x:alignment horizontal="center" vertical="bottom"/>
    </x:xf>
    <x:xf numFmtId="3" fontId="2" fillId="2" borderId="1" xfId="0" applyNumberFormat="1" applyFont="1" applyFill="1" applyBorder="1" applyAlignment="1">
      <x:alignment horizontal="center" vertical="bottom"/>
    </x:xf>
    <x:xf numFmtId="3" fontId="2" fillId="2" borderId="1" xfId="0" applyNumberFormat="1" applyFont="1" applyFill="1" applyBorder="1" applyAlignment="1">
      <x:alignment horizontal="center" vertical="bottom"/>
    </x:xf>
    <x:xf numFmtId="3" fontId="2" fillId="0" borderId="1" xfId="0" applyNumberFormat="1" applyFont="1" applyBorder="1" applyAlignment="1">
      <x:alignment horizontal="center" vertical="bottom"/>
    </x:xf>
    <x:xf numFmtId="3" fontId="2" fillId="0" borderId="1" xfId="0" applyNumberFormat="1" applyFont="1" applyBorder="1" applyAlignment="1">
      <x:alignment horizontal="center" vertical="bottom"/>
    </x:xf>
    <x:xf numFmtId="0" fontId="3" fillId="0" borderId="1" xfId="0" applyFont="1" applyBorder="1"/>
    <x:xf numFmtId="0" fontId="2" fillId="7" borderId="1" xfId="0" applyFont="1" applyFill="1" applyBorder="1" applyAlignment="1">
      <x:alignment horizontal="center" vertical="bottom"/>
    </x:xf>
    <x:xf numFmtId="0" fontId="2" fillId="7" borderId="1" xfId="0" applyFont="1" applyFill="1" applyBorder="1" applyAlignment="1">
      <x:alignment horizontal="center" vertical="bottom"/>
    </x:xf>
    <x:xf numFmtId="0" fontId="2" fillId="0" borderId="1" xfId="0" applyFont="1" applyBorder="1" applyAlignment="1"/>
    <x:xf numFmtId="0" fontId="5" fillId="2" borderId="1" xfId="0" applyFont="1" applyFill="1" applyBorder="1" applyAlignment="1">
      <x:alignment horizontal="center" vertical="bottom"/>
    </x:xf>
    <x:xf numFmtId="0" fontId="5" fillId="2" borderId="1" xfId="0" applyFont="1" applyFill="1" applyBorder="1" applyAlignment="1">
      <x:alignment horizontal="left" vertical="bottom"/>
    </x:xf>
    <x:xf numFmtId="1" fontId="5" fillId="2" borderId="1" xfId="0" applyNumberFormat="1" applyFont="1" applyFill="1" applyBorder="1" applyAlignment="1">
      <x:alignment horizontal="center" vertical="bottom"/>
    </x:xf>
    <x:xf numFmtId="1" fontId="5" fillId="2" borderId="1" xfId="0" applyNumberFormat="1" applyFont="1" applyFill="1" applyBorder="1" applyAlignment="1">
      <x:alignment horizontal="center" vertical="bottom"/>
    </x:xf>
    <x:xf numFmtId="1" fontId="5" fillId="0" borderId="1" xfId="0" applyNumberFormat="1" applyFont="1" applyBorder="1" applyAlignment="1">
      <x:alignment horizontal="center" vertical="bottom"/>
    </x:xf>
    <x:xf numFmtId="1" fontId="5" fillId="0" borderId="1" xfId="0" applyNumberFormat="1" applyFont="1" applyBorder="1" applyAlignment="1">
      <x:alignment horizontal="center" vertical="bottom"/>
    </x:xf>
    <x:xf numFmtId="0" fontId="5" fillId="0" borderId="1" xfId="0" applyFont="1" applyBorder="1" applyAlignment="1">
      <x:alignment horizontal="left" vertical="bottom"/>
    </x:xf>
    <x:xf numFmtId="0" fontId="5" fillId="0" borderId="1" xfId="0" applyFont="1" applyBorder="1" applyAlignment="1">
      <x:alignment horizontal="center" vertical="bottom"/>
    </x:xf>
  </x:cellXfs>
  <x:cellStyles count="1">
    <x:cellStyle name="Normal" xfId="0"/>
  </x:cellStyles>
  <x:dxfs count="6">
    <x:dxf>
      <x:fill>
        <x:patternFill>
          <x:bgColor theme="0"/>
        </x:patternFill>
      </x:fill>
      <x:border/>
    </x:dxf>
    <x:dxf>
      <x:fill>
        <x:patternFill>
          <x:bgColor rgb="FF46BDC6"/>
        </x:patternFill>
      </x:fill>
      <x:border/>
    </x:dxf>
    <x:dxf>
      <x:fill>
        <x:patternFill>
          <x:bgColor rgb="FF4285F4"/>
        </x:patternFill>
      </x:fill>
      <x:border/>
    </x:dxf>
    <x:dxf>
      <x:fill>
        <x:patternFill>
          <x:bgColor rgb="FFFBBC04"/>
        </x:patternFill>
      </x:fill>
      <x:border/>
    </x:dxf>
    <x:dxf>
      <x:fill>
        <x:patternFill>
          <x:bgColor rgb="FFEA4335"/>
        </x:patternFill>
      </x:fill>
      <x:border/>
    </x:dxf>
    <x:dxf>
      <x:fill>
        <x:patternFill>
          <x:bgColor rgb="FF34A853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7df060a4a43b4" /><Relationship Type="http://schemas.openxmlformats.org/officeDocument/2006/relationships/theme" Target="/xl/theme/theme1.xml" Id="R30fb6c15822c41ed" /><Relationship Type="http://schemas.openxmlformats.org/officeDocument/2006/relationships/sharedStrings" Target="/xl/sharedStrings.xml" Id="Rce32a1e1c12a431b" /><Relationship Type="http://schemas.openxmlformats.org/officeDocument/2006/relationships/worksheet" Target="/xl/worksheets/sheet1.xml" Id="Rf52a057c0ccc48c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2.630000114440918" customWidth="1"/>
    <x:col min="2" max="2" width="8.130000114440918" customWidth="1"/>
    <x:col min="3" max="3" width="15.25" customWidth="1"/>
    <x:col min="4" max="4" width="67" customWidth="1"/>
    <x:col min="5" max="5" width="22.3799991607666" customWidth="1"/>
    <x:col min="6" max="6" width="15.630000114440918" customWidth="1"/>
    <x:col min="7" max="7" width="15" customWidth="1"/>
    <x:col min="8" max="8" width="13.880000114440918" customWidth="1"/>
    <x:col min="9" max="9" width="16.5" customWidth="1"/>
    <x:col min="10" max="10" width="9.75" customWidth="1"/>
    <x:col min="11" max="11" width="12.130000114440918" customWidth="1"/>
    <x:col min="12" max="12" width="11.5" customWidth="1"/>
    <x:col min="13" max="13" width="12" customWidth="1"/>
    <x:col min="14" max="14" width="11.5" customWidth="1"/>
    <x:col min="15" max="15" width="13.130000114440918" customWidth="1"/>
    <x:col min="16" max="16" width="10.75" customWidth="1"/>
    <x:col min="17" max="17" width="15.630000114440918" customWidth="1"/>
    <x:col min="18" max="18" width="26.3799991607666" customWidth="1"/>
    <x:col min="19" max="19" width="6.380000114440918" customWidth="1"/>
    <x:col min="20" max="20" width="57.130001068115234" customWidth="1"/>
    <x:col min="21" max="21" width="25.1299991607666" customWidth="1"/>
  </x:cols>
  <x:sheetData>
    <x:row r="1">
      <x:c r="A1" s="1" t="str">
        <x:v>Código</x:v>
      </x:c>
      <x:c r="B1" s="1" t="str">
        <x:v>Cor</x:v>
      </x:c>
      <x:c r="C1" s="1" t="str">
        <x:v>Voltagem</x:v>
      </x:c>
      <x:c r="D1" s="1" t="str">
        <x:v>Produto</x:v>
      </x:c>
      <x:c r="E1" s="2" t="str">
        <x:v>Movimentação Agosto</x:v>
      </x:c>
      <x:c r="F1" s="2" t="str">
        <x:v>Transportadora</x:v>
      </x:c>
      <x:c r="G1" s="2" t="str">
        <x:v>LIcitação</x:v>
      </x:c>
      <x:c r="H1" s="2" t="str">
        <x:v>Clientes</x:v>
      </x:c>
      <x:c r="I1" s="2" t="str">
        <x:v>Contagem</x:v>
      </x:c>
      <x:c r="J1" s="2" t="str">
        <x:v>Auditoria</x:v>
      </x:c>
      <x:c r="K1" s="2" t="str">
        <x:v>Assistência</x:v>
      </x:c>
      <x:c r="L1" s="2" t="str">
        <x:v>Avaria</x:v>
      </x:c>
      <x:c r="M1" s="2" t="str">
        <x:v>Entrada NF.</x:v>
      </x:c>
      <x:c r="N1" s="2" t="str">
        <x:v>Falta</x:v>
      </x:c>
      <x:c r="O1" s="2" t="str">
        <x:v>C. Total</x:v>
      </x:c>
      <x:c r="P1" s="2" t="str">
        <x:v>Saldo</x:v>
      </x:c>
      <x:c r="Q1" s="2" t="str">
        <x:v>Diferença</x:v>
      </x:c>
      <x:c r="R1" s="3" t="str">
        <x:v>Obs.</x:v>
      </x:c>
      <x:c r="S1" s="4"/>
      <x:c r="T1" s="3" t="str">
        <x:v>Sumário</x:v>
      </x:c>
      <x:c r="U1" s="3" t="str">
        <x:v>Cor</x:v>
      </x:c>
    </x:row>
    <x:row r="2">
      <x:c r="A2" s="5" t="n">
        <x:v>1191</x:v>
      </x:c>
      <x:c r="B2" s="5" t="n">
        <x:v>3</x:v>
      </x:c>
      <x:c r="C2" s="5" t="n">
        <x:v>1</x:v>
      </x:c>
      <x:c r="D2" s="6" t="str">
        <x:v>FERRO DE PASSAR A SECO BLACK DECKER VFA</x:v>
      </x:c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7" t="n">
        <x:f t="shared" ref="O2:O263" si="1">SUM(E2:N2)</x:f>
        <x:v>0</x:v>
      </x:c>
      <x:c r="P2" s="7" t="n">
        <x:v>179</x:v>
      </x:c>
      <x:c r="Q2" s="8" t="n">
        <x:f t="shared" ref="Q2:Q122" si="2">O2-P2</x:f>
        <x:v>-179</x:v>
      </x:c>
      <x:c r="R2" s="9"/>
      <x:c r="S2" s="10"/>
      <x:c r="T2" s="11" t="str">
        <x:v>Contagem = Saldo</x:v>
      </x:c>
      <x:c r="U2" s="11"/>
    </x:row>
    <x:row r="3">
      <x:c r="A3" s="5" t="n">
        <x:v>1191</x:v>
      </x:c>
      <x:c r="B3" s="5" t="n">
        <x:v>3</x:v>
      </x:c>
      <x:c r="C3" s="5" t="n">
        <x:v>2</x:v>
      </x:c>
      <x:c r="D3" s="6" t="str">
        <x:v>FERRO DE PASSAR A SECO BLACK DECKER VFA</x:v>
      </x:c>
      <x:c r="E3" s="10"/>
      <x:c r="F3" s="10"/>
      <x:c r="G3" s="10"/>
      <x:c r="H3" s="10"/>
      <x:c r="I3" s="5"/>
      <x:c r="J3" s="10"/>
      <x:c r="K3" s="10"/>
      <x:c r="L3" s="10"/>
      <x:c r="M3" s="10"/>
      <x:c r="N3" s="10"/>
      <x:c r="O3" s="7" t="n">
        <x:f t="shared" si="1">SUM(E3:N3)</x:f>
        <x:v>0</x:v>
      </x:c>
      <x:c r="P3" s="7" t="n">
        <x:v>425</x:v>
      </x:c>
      <x:c r="Q3" s="12" t="n">
        <x:f t="shared" si="2">O3-P3</x:f>
        <x:v>-425</x:v>
      </x:c>
      <x:c r="R3" s="13"/>
      <x:c r="S3" s="12"/>
      <x:c r="T3" s="14" t="str">
        <x:v>Contagem &gt; Saldo</x:v>
      </x:c>
      <x:c r="U3" s="15"/>
    </x:row>
    <x:row r="4">
      <x:c r="A4" s="5" t="n">
        <x:v>1363</x:v>
      </x:c>
      <x:c r="B4" s="5" t="n">
        <x:v>1</x:v>
      </x:c>
      <x:c r="C4" s="5" t="n">
        <x:v>1</x:v>
      </x:c>
      <x:c r="D4" s="6" t="str">
        <x:v>PANELA ELETRICA ARROZ BRITANIA PA7 / PA10 10X</x:v>
      </x:c>
      <x:c r="E4" s="10"/>
      <x:c r="F4" s="10"/>
      <x:c r="G4" s="10"/>
      <x:c r="H4" s="10"/>
      <x:c r="I4" s="5"/>
      <x:c r="J4" s="10"/>
      <x:c r="K4" s="10"/>
      <x:c r="L4" s="10"/>
      <x:c r="M4" s="5"/>
      <x:c r="N4" s="10"/>
      <x:c r="O4" s="7" t="n">
        <x:f t="shared" si="1">SUM(E4:N4)</x:f>
        <x:v>0</x:v>
      </x:c>
      <x:c r="P4" s="7" t="n">
        <x:v>3</x:v>
      </x:c>
      <x:c r="Q4" s="12" t="n">
        <x:f t="shared" si="2">O4-P4</x:f>
        <x:v>-3</x:v>
      </x:c>
      <x:c r="R4" s="16"/>
      <x:c r="S4" s="12"/>
      <x:c r="T4" s="17" t="str">
        <x:v>Contagem &lt; Saldo</x:v>
      </x:c>
      <x:c r="U4" s="18"/>
    </x:row>
    <x:row r="5">
      <x:c r="A5" s="5" t="n">
        <x:v>2552</x:v>
      </x:c>
      <x:c r="B5" s="5" t="n">
        <x:v>1</x:v>
      </x:c>
      <x:c r="C5" s="5" t="n">
        <x:v>1</x:v>
      </x:c>
      <x:c r="D5" s="6" t="str">
        <x:v>REFRIGERADOR CONSUL CRB39 F.FREE 342L</x:v>
      </x:c>
      <x:c r="E5" s="10"/>
      <x:c r="F5" s="10"/>
      <x:c r="G5" s="10"/>
      <x:c r="H5" s="10"/>
      <x:c r="I5" s="5"/>
      <x:c r="J5" s="10"/>
      <x:c r="K5" s="10"/>
      <x:c r="L5" s="10"/>
      <x:c r="M5" s="10"/>
      <x:c r="N5" s="10"/>
      <x:c r="O5" s="7" t="n">
        <x:f t="shared" si="1">SUM(E5:N5)</x:f>
        <x:v>0</x:v>
      </x:c>
      <x:c r="P5" s="7" t="n">
        <x:v>5</x:v>
      </x:c>
      <x:c r="Q5" s="12" t="n">
        <x:f t="shared" si="2">O5-P5</x:f>
        <x:v>-5</x:v>
      </x:c>
      <x:c r="R5" s="13"/>
      <x:c r="S5" s="12"/>
      <x:c r="T5" s="19" t="str">
        <x:v>Inversão</x:v>
      </x:c>
      <x:c r="U5" s="20"/>
    </x:row>
    <x:row r="6">
      <x:c r="A6" s="5" t="n">
        <x:v>2552</x:v>
      </x:c>
      <x:c r="B6" s="5" t="n">
        <x:v>1</x:v>
      </x:c>
      <x:c r="C6" s="5" t="n">
        <x:v>2</x:v>
      </x:c>
      <x:c r="D6" s="6" t="str">
        <x:v>REFRIGERADOR CONSUL CRB39 F.FREE 342L</x:v>
      </x:c>
      <x:c r="E6" s="10"/>
      <x:c r="F6" s="10"/>
      <x:c r="G6" s="10"/>
      <x:c r="H6" s="10"/>
      <x:c r="I6" s="5"/>
      <x:c r="J6" s="10"/>
      <x:c r="K6" s="10"/>
      <x:c r="L6" s="5" t="n">
        <x:v>4</x:v>
      </x:c>
      <x:c r="M6" s="5"/>
      <x:c r="N6" s="5"/>
      <x:c r="O6" s="7" t="n">
        <x:f t="shared" si="1">SUM(E6:N6)</x:f>
        <x:v>4</x:v>
      </x:c>
      <x:c r="P6" s="7" t="n">
        <x:v>16</x:v>
      </x:c>
      <x:c r="Q6" s="12" t="n">
        <x:f t="shared" si="2">O6-P6</x:f>
        <x:v>-12</x:v>
      </x:c>
      <x:c r="R6" s="13"/>
      <x:c r="S6" s="12"/>
      <x:c r="T6" s="21" t="str">
        <x:v>Razão (Já foi recontado e mesmo assim não bate com o saldo)</x:v>
      </x:c>
      <x:c r="U6" s="22"/>
    </x:row>
    <x:row r="7">
      <x:c r="A7" s="5" t="n">
        <x:v>8620</x:v>
      </x:c>
      <x:c r="B7" s="5" t="n">
        <x:v>3</x:v>
      </x:c>
      <x:c r="C7" s="5" t="n">
        <x:v>0</x:v>
      </x:c>
      <x:c r="D7" s="6" t="str">
        <x:v>BACIA RORATO 1,20X55 CUBA GRANITADA</x:v>
      </x:c>
      <x:c r="E7" s="10"/>
      <x:c r="F7" s="10"/>
      <x:c r="G7" s="10"/>
      <x:c r="H7" s="10"/>
      <x:c r="I7" s="5"/>
      <x:c r="J7" s="10"/>
      <x:c r="K7" s="10"/>
      <x:c r="L7" s="10"/>
      <x:c r="M7" s="10"/>
      <x:c r="N7" s="10"/>
      <x:c r="O7" s="7" t="n">
        <x:f t="shared" si="1">SUM(E7:N7)</x:f>
        <x:v>0</x:v>
      </x:c>
      <x:c r="P7" s="7" t="n">
        <x:v>63</x:v>
      </x:c>
      <x:c r="Q7" s="12" t="n">
        <x:f t="shared" si="2">O7-P7</x:f>
        <x:v>-63</x:v>
      </x:c>
      <x:c r="R7" s="13"/>
      <x:c r="S7" s="12"/>
      <x:c r="T7" s="13"/>
      <x:c r="U7" s="13"/>
    </x:row>
    <x:row r="8">
      <x:c r="A8" s="5" t="n">
        <x:v>8620</x:v>
      </x:c>
      <x:c r="B8" s="5" t="n">
        <x:v>565</x:v>
      </x:c>
      <x:c r="C8" s="5" t="n">
        <x:v>0</x:v>
      </x:c>
      <x:c r="D8" s="6" t="str">
        <x:v>BACIA RORATO 1,20X55 CUBA GRANITADA</x:v>
      </x:c>
      <x:c r="E8" s="10"/>
      <x:c r="F8" s="10"/>
      <x:c r="G8" s="10"/>
      <x:c r="H8" s="10"/>
      <x:c r="I8" s="5"/>
      <x:c r="J8" s="10"/>
      <x:c r="K8" s="10"/>
      <x:c r="L8" s="10"/>
      <x:c r="M8" s="10"/>
      <x:c r="N8" s="10"/>
      <x:c r="O8" s="7" t="n">
        <x:f t="shared" si="1">SUM(E8:N8)</x:f>
        <x:v>0</x:v>
      </x:c>
      <x:c r="P8" s="7" t="n">
        <x:v>25</x:v>
      </x:c>
      <x:c r="Q8" s="12" t="n">
        <x:f t="shared" si="2">O8-P8</x:f>
        <x:v>-25</x:v>
      </x:c>
      <x:c r="R8" s="13"/>
      <x:c r="S8" s="12"/>
      <x:c r="T8" s="13"/>
      <x:c r="U8" s="13"/>
    </x:row>
    <x:row r="9">
      <x:c r="A9" s="5" t="n">
        <x:v>12553</x:v>
      </x:c>
      <x:c r="B9" s="5" t="n">
        <x:v>3</x:v>
      </x:c>
      <x:c r="C9" s="5" t="n">
        <x:v>1</x:v>
      </x:c>
      <x:c r="D9" s="6" t="str">
        <x:v>PANELA ELETRICA ARROZ BRITANIA PA1/PA5 5X</x:v>
      </x:c>
      <x:c r="E9" s="10"/>
      <x:c r="F9" s="10"/>
      <x:c r="G9" s="10"/>
      <x:c r="H9" s="10"/>
      <x:c r="I9" s="5"/>
      <x:c r="J9" s="10"/>
      <x:c r="K9" s="10"/>
      <x:c r="L9" s="10"/>
      <x:c r="M9" s="10"/>
      <x:c r="N9" s="10"/>
      <x:c r="O9" s="7" t="n">
        <x:f t="shared" si="1">SUM(E9:N9)</x:f>
        <x:v>0</x:v>
      </x:c>
      <x:c r="P9" s="7" t="n">
        <x:v>112</x:v>
      </x:c>
      <x:c r="Q9" s="12" t="n">
        <x:f t="shared" si="2">O9-P9</x:f>
        <x:v>-112</x:v>
      </x:c>
      <x:c r="R9" s="13"/>
      <x:c r="S9" s="12"/>
      <x:c r="T9" s="13"/>
      <x:c r="U9" s="13"/>
    </x:row>
    <x:row r="10">
      <x:c r="A10" s="5" t="n">
        <x:v>12553</x:v>
      </x:c>
      <x:c r="B10" s="5" t="n">
        <x:v>3</x:v>
      </x:c>
      <x:c r="C10" s="5" t="n">
        <x:v>2</x:v>
      </x:c>
      <x:c r="D10" s="6" t="str">
        <x:v>PANELA ELETRICA ARROZ BRITANIA PA1/PA5 5X</x:v>
      </x:c>
      <x:c r="E10" s="10"/>
      <x:c r="F10" s="10"/>
      <x:c r="G10" s="10"/>
      <x:c r="H10" s="10"/>
      <x:c r="I10" s="5"/>
      <x:c r="J10" s="10"/>
      <x:c r="K10" s="10"/>
      <x:c r="L10" s="5" t="n">
        <x:v>1</x:v>
      </x:c>
      <x:c r="M10" s="10"/>
      <x:c r="N10" s="10"/>
      <x:c r="O10" s="7" t="n">
        <x:f t="shared" si="1">SUM(E10:N10)</x:f>
        <x:v>1</x:v>
      </x:c>
      <x:c r="P10" s="7" t="n">
        <x:v>328</x:v>
      </x:c>
      <x:c r="Q10" s="12" t="n">
        <x:f t="shared" si="2">O10-P10</x:f>
        <x:v>-327</x:v>
      </x:c>
      <x:c r="R10" s="13"/>
      <x:c r="S10" s="7"/>
      <x:c r="T10" s="13"/>
      <x:c r="U10" s="13"/>
    </x:row>
    <x:row r="11">
      <x:c r="A11" s="5" t="n">
        <x:v>13591</x:v>
      </x:c>
      <x:c r="B11" s="5" t="n">
        <x:v>3</x:v>
      </x:c>
      <x:c r="C11" s="5" t="n">
        <x:v>0</x:v>
      </x:c>
      <x:c r="D11" s="6" t="str">
        <x:v>BACIA RORATO 1,20X55 CUBA INOX</x:v>
      </x:c>
      <x:c r="E11" s="5"/>
      <x:c r="F11" s="5"/>
      <x:c r="G11" s="10"/>
      <x:c r="H11" s="10"/>
      <x:c r="I11" s="5"/>
      <x:c r="J11" s="10"/>
      <x:c r="K11" s="10"/>
      <x:c r="L11" s="10"/>
      <x:c r="M11" s="10"/>
      <x:c r="N11" s="10"/>
      <x:c r="O11" s="7" t="n">
        <x:f t="shared" si="1">SUM(E11:N11)</x:f>
        <x:v>0</x:v>
      </x:c>
      <x:c r="P11" s="7" t="n">
        <x:v>45</x:v>
      </x:c>
      <x:c r="Q11" s="12" t="n">
        <x:f t="shared" si="2">O11-P11</x:f>
        <x:v>-45</x:v>
      </x:c>
      <x:c r="R11" s="13"/>
      <x:c r="S11" s="12"/>
      <x:c r="T11" s="13"/>
      <x:c r="U11" s="13"/>
    </x:row>
    <x:row r="12">
      <x:c r="A12" s="5" t="n">
        <x:v>13591</x:v>
      </x:c>
      <x:c r="B12" s="5" t="n">
        <x:v>565</x:v>
      </x:c>
      <x:c r="C12" s="5" t="n">
        <x:v>0</x:v>
      </x:c>
      <x:c r="D12" s="6" t="str">
        <x:v>BACIA RORATO 1,20X55 CUBA INOX</x:v>
      </x:c>
      <x:c r="E12" s="10"/>
      <x:c r="F12" s="10"/>
      <x:c r="G12" s="10"/>
      <x:c r="H12" s="10"/>
      <x:c r="I12" s="5"/>
      <x:c r="J12" s="10"/>
      <x:c r="K12" s="10"/>
      <x:c r="L12" s="10"/>
      <x:c r="M12" s="10"/>
      <x:c r="N12" s="10"/>
      <x:c r="O12" s="7" t="n">
        <x:f t="shared" si="1">SUM(E12:N12)</x:f>
        <x:v>0</x:v>
      </x:c>
      <x:c r="P12" s="7" t="n">
        <x:v>22</x:v>
      </x:c>
      <x:c r="Q12" s="12" t="n">
        <x:f t="shared" si="2">O12-P12</x:f>
        <x:v>-22</x:v>
      </x:c>
      <x:c r="R12" s="13"/>
      <x:c r="S12" s="12"/>
      <x:c r="T12" s="13"/>
      <x:c r="U12" s="13"/>
    </x:row>
    <x:row r="13">
      <x:c r="A13" s="5" t="n">
        <x:v>14059</x:v>
      </x:c>
      <x:c r="B13" s="5" t="n">
        <x:v>1</x:v>
      </x:c>
      <x:c r="C13" s="5" t="n">
        <x:v>2</x:v>
      </x:c>
      <x:c r="D13" s="6" t="str">
        <x:v>REFRIGERADOR CONSUL CRD37 334L</x:v>
      </x:c>
      <x:c r="E13" s="10"/>
      <x:c r="F13" s="10"/>
      <x:c r="G13" s="10"/>
      <x:c r="H13" s="10"/>
      <x:c r="I13" s="5"/>
      <x:c r="J13" s="10"/>
      <x:c r="K13" s="10"/>
      <x:c r="L13" s="5"/>
      <x:c r="M13" s="5"/>
      <x:c r="N13" s="5"/>
      <x:c r="O13" s="7" t="n">
        <x:f t="shared" si="1">SUM(E13:N13)</x:f>
        <x:v>0</x:v>
      </x:c>
      <x:c r="P13" s="7" t="n">
        <x:v>2</x:v>
      </x:c>
      <x:c r="Q13" s="12" t="n">
        <x:f t="shared" si="2">O13-P13</x:f>
        <x:v>-2</x:v>
      </x:c>
      <x:c r="R13" s="13"/>
      <x:c r="S13" s="12"/>
      <x:c r="T13" s="13"/>
      <x:c r="U13" s="13"/>
    </x:row>
    <x:row r="14">
      <x:c r="A14" s="5" t="n">
        <x:v>14059</x:v>
      </x:c>
      <x:c r="B14" s="5" t="n">
        <x:v>1</x:v>
      </x:c>
      <x:c r="C14" s="5" t="n">
        <x:v>3</x:v>
      </x:c>
      <x:c r="D14" s="6" t="str">
        <x:v>REFRIGERADOR CONSUL CRD37 334L</x:v>
      </x:c>
      <x:c r="E14" s="10"/>
      <x:c r="F14" s="10"/>
      <x:c r="G14" s="10"/>
      <x:c r="H14" s="10"/>
      <x:c r="I14" s="5"/>
      <x:c r="J14" s="10"/>
      <x:c r="K14" s="10"/>
      <x:c r="L14" s="23"/>
      <x:c r="M14" s="10"/>
      <x:c r="N14" s="10"/>
      <x:c r="O14" s="7" t="n">
        <x:f t="shared" si="1">SUM(E14:N14)</x:f>
        <x:v>0</x:v>
      </x:c>
      <x:c r="P14" s="7" t="n">
        <x:v>5</x:v>
      </x:c>
      <x:c r="Q14" s="12" t="n">
        <x:f t="shared" si="2">O14-P14</x:f>
        <x:v>-5</x:v>
      </x:c>
      <x:c r="R14" s="13"/>
      <x:c r="S14" s="12"/>
      <x:c r="T14" s="13"/>
      <x:c r="U14" s="13"/>
    </x:row>
    <x:row r="15">
      <x:c r="A15" s="5" t="n">
        <x:v>48414</x:v>
      </x:c>
      <x:c r="B15" s="5" t="n">
        <x:v>1</x:v>
      </x:c>
      <x:c r="C15" s="5" t="n">
        <x:v>2</x:v>
      </x:c>
      <x:c r="D15" s="6" t="str">
        <x:v>REFRIGERADOR ELECTROLUX DC35A C. DEFROST 260L</x:v>
      </x:c>
      <x:c r="E15" s="10"/>
      <x:c r="F15" s="10"/>
      <x:c r="G15" s="10"/>
      <x:c r="H15" s="10"/>
      <x:c r="I15" s="5"/>
      <x:c r="J15" s="10"/>
      <x:c r="K15" s="10"/>
      <x:c r="L15" s="5" t="n">
        <x:v>1</x:v>
      </x:c>
      <x:c r="M15" s="5"/>
      <x:c r="N15" s="5"/>
      <x:c r="O15" s="7" t="n">
        <x:f t="shared" si="1">SUM(E15:N15)</x:f>
        <x:v>1</x:v>
      </x:c>
      <x:c r="P15" s="7" t="n">
        <x:v>1</x:v>
      </x:c>
      <x:c r="Q15" s="12" t="n">
        <x:f t="shared" si="2">O15-P15</x:f>
        <x:v>0</x:v>
      </x:c>
      <x:c r="R15" s="13"/>
      <x:c r="S15" s="12"/>
      <x:c r="T15" s="13"/>
      <x:c r="U15" s="13"/>
    </x:row>
    <x:row r="16">
      <x:c r="A16" s="5" t="n">
        <x:v>48415</x:v>
      </x:c>
      <x:c r="B16" s="5" t="n">
        <x:v>1</x:v>
      </x:c>
      <x:c r="C16" s="5" t="n">
        <x:v>2</x:v>
      </x:c>
      <x:c r="D16" s="6" t="str">
        <x:v>REFRIGERADOR ELECTROLUX RE31 240L</x:v>
      </x:c>
      <x:c r="E16" s="10"/>
      <x:c r="F16" s="10"/>
      <x:c r="G16" s="10"/>
      <x:c r="H16" s="10"/>
      <x:c r="I16" s="5" t="n">
        <x:v>1</x:v>
      </x:c>
      <x:c r="J16" s="10"/>
      <x:c r="K16" s="10"/>
      <x:c r="L16" s="5" t="n">
        <x:v>1</x:v>
      </x:c>
      <x:c r="M16" s="5"/>
      <x:c r="N16" s="5"/>
      <x:c r="O16" s="7" t="n">
        <x:f t="shared" si="1">SUM(E16:N16)</x:f>
        <x:v>2</x:v>
      </x:c>
      <x:c r="P16" s="7" t="n">
        <x:v>2</x:v>
      </x:c>
      <x:c r="Q16" s="12" t="n">
        <x:f t="shared" si="2">O16-P16</x:f>
        <x:v>0</x:v>
      </x:c>
      <x:c r="R16" s="13"/>
      <x:c r="S16" s="12"/>
      <x:c r="T16" s="13"/>
      <x:c r="U16" s="13"/>
    </x:row>
    <x:row r="17">
      <x:c r="A17" s="5" t="n">
        <x:v>50102</x:v>
      </x:c>
      <x:c r="B17" s="5" t="n">
        <x:v>3</x:v>
      </x:c>
      <x:c r="C17" s="5" t="n">
        <x:v>1</x:v>
      </x:c>
      <x:c r="D17" s="6" t="str">
        <x:v>SANDUICHEIRA FAMA SAND GRILL FGR01</x:v>
      </x:c>
      <x:c r="E17" s="24"/>
      <x:c r="F17" s="24"/>
      <x:c r="G17" s="24"/>
      <x:c r="H17" s="24"/>
      <x:c r="I17" s="25"/>
      <x:c r="J17" s="24"/>
      <x:c r="K17" s="24"/>
      <x:c r="L17" s="24"/>
      <x:c r="M17" s="24"/>
      <x:c r="N17" s="24"/>
      <x:c r="O17" s="26" t="n">
        <x:f t="shared" si="1">SUM(E17:N17)</x:f>
        <x:v>0</x:v>
      </x:c>
      <x:c r="P17" s="26" t="n">
        <x:v>47</x:v>
      </x:c>
      <x:c r="Q17" s="27" t="n">
        <x:f t="shared" si="2">O17-P17</x:f>
        <x:v>-47</x:v>
      </x:c>
      <x:c r="R17" s="13"/>
      <x:c r="S17" s="7"/>
      <x:c r="T17" s="13"/>
      <x:c r="U17" s="13"/>
    </x:row>
    <x:row r="18">
      <x:c r="A18" s="5" t="n">
        <x:v>50102</x:v>
      </x:c>
      <x:c r="B18" s="5" t="n">
        <x:v>3</x:v>
      </x:c>
      <x:c r="C18" s="5" t="n">
        <x:v>2</x:v>
      </x:c>
      <x:c r="D18" s="6" t="str">
        <x:v>SANDUICHEIRA FAMA SAND GRILL FGR01</x:v>
      </x:c>
      <x:c r="E18" s="10"/>
      <x:c r="F18" s="10"/>
      <x:c r="G18" s="10"/>
      <x:c r="H18" s="10"/>
      <x:c r="I18" s="5"/>
      <x:c r="J18" s="10"/>
      <x:c r="K18" s="10"/>
      <x:c r="L18" s="10"/>
      <x:c r="M18" s="10"/>
      <x:c r="N18" s="10"/>
      <x:c r="O18" s="7" t="n">
        <x:f t="shared" si="1">SUM(E18:N18)</x:f>
        <x:v>0</x:v>
      </x:c>
      <x:c r="P18" s="7" t="n">
        <x:v>1</x:v>
      </x:c>
      <x:c r="Q18" s="12" t="n">
        <x:f t="shared" si="2">O18-P18</x:f>
        <x:v>-1</x:v>
      </x:c>
      <x:c r="R18" s="13"/>
      <x:c r="S18" s="12"/>
      <x:c r="T18" s="13"/>
      <x:c r="U18" s="13"/>
    </x:row>
    <x:row r="19">
      <x:c r="A19" s="5" t="n">
        <x:v>57376</x:v>
      </x:c>
      <x:c r="B19" s="5" t="n">
        <x:v>3</x:v>
      </x:c>
      <x:c r="C19" s="5" t="n">
        <x:v>0</x:v>
      </x:c>
      <x:c r="D19" s="6" t="str">
        <x:v>BACIA RORATO 1,50X55 CUBA GRANITADA</x:v>
      </x:c>
      <x:c r="E19" s="10"/>
      <x:c r="F19" s="10"/>
      <x:c r="G19" s="10"/>
      <x:c r="H19" s="10"/>
      <x:c r="I19" s="5"/>
      <x:c r="J19" s="10"/>
      <x:c r="K19" s="10"/>
      <x:c r="L19" s="10"/>
      <x:c r="M19" s="10"/>
      <x:c r="N19" s="10"/>
      <x:c r="O19" s="7" t="n">
        <x:f t="shared" si="1">SUM(E19:N19)</x:f>
        <x:v>0</x:v>
      </x:c>
      <x:c r="P19" s="7" t="n">
        <x:v>32</x:v>
      </x:c>
      <x:c r="Q19" s="12" t="n">
        <x:f t="shared" si="2">O19-P19</x:f>
        <x:v>-32</x:v>
      </x:c>
      <x:c r="R19" s="13"/>
      <x:c r="S19" s="12"/>
      <x:c r="T19" s="13"/>
      <x:c r="U19" s="13"/>
    </x:row>
    <x:row r="20">
      <x:c r="A20" s="5" t="n">
        <x:v>57738</x:v>
      </x:c>
      <x:c r="B20" s="5" t="n">
        <x:v>1</x:v>
      </x:c>
      <x:c r="C20" s="5" t="n">
        <x:v>1</x:v>
      </x:c>
      <x:c r="D20" s="6" t="str">
        <x:v>FREEZER CONSUL HORIZ CHB53 534L</x:v>
      </x:c>
      <x:c r="E20" s="10"/>
      <x:c r="F20" s="10"/>
      <x:c r="G20" s="10"/>
      <x:c r="H20" s="10"/>
      <x:c r="I20" s="5"/>
      <x:c r="J20" s="10"/>
      <x:c r="K20" s="10"/>
      <x:c r="L20" s="5" t="n">
        <x:v>1</x:v>
      </x:c>
      <x:c r="M20" s="5"/>
      <x:c r="N20" s="5"/>
      <x:c r="O20" s="7" t="n">
        <x:f t="shared" si="1">SUM(E20:N20)</x:f>
        <x:v>1</x:v>
      </x:c>
      <x:c r="P20" s="7" t="n">
        <x:v>1</x:v>
      </x:c>
      <x:c r="Q20" s="12" t="n">
        <x:f t="shared" si="2">O20-P20</x:f>
        <x:v>0</x:v>
      </x:c>
      <x:c r="R20" s="13"/>
      <x:c r="S20" s="12"/>
      <x:c r="T20" s="13"/>
      <x:c r="U20" s="13"/>
    </x:row>
    <x:row r="21">
      <x:c r="A21" s="5" t="n">
        <x:v>57792</x:v>
      </x:c>
      <x:c r="B21" s="5" t="n">
        <x:v>605</x:v>
      </x:c>
      <x:c r="C21" s="5" t="n">
        <x:v>4</x:v>
      </x:c>
      <x:c r="D21" s="6" t="str">
        <x:v>EXTRATOR SUCOS MONDIAL E-10 PREMIUM 250W</x:v>
      </x:c>
      <x:c r="E21" s="10"/>
      <x:c r="F21" s="10"/>
      <x:c r="G21" s="10"/>
      <x:c r="H21" s="10"/>
      <x:c r="I21" s="5"/>
      <x:c r="J21" s="10"/>
      <x:c r="K21" s="10"/>
      <x:c r="L21" s="10"/>
      <x:c r="M21" s="10"/>
      <x:c r="N21" s="10"/>
      <x:c r="O21" s="7" t="n">
        <x:f t="shared" si="1">SUM(E21:N21)</x:f>
        <x:v>0</x:v>
      </x:c>
      <x:c r="P21" s="7" t="n">
        <x:v>17</x:v>
      </x:c>
      <x:c r="Q21" s="12" t="n">
        <x:f t="shared" si="2">O21-P21</x:f>
        <x:v>-17</x:v>
      </x:c>
      <x:c r="R21" s="13"/>
      <x:c r="S21" s="12"/>
      <x:c r="T21" s="13"/>
      <x:c r="U21" s="13"/>
    </x:row>
    <x:row r="22">
      <x:c r="A22" s="5" t="n">
        <x:v>59009</x:v>
      </x:c>
      <x:c r="B22" s="5" t="n">
        <x:v>9</x:v>
      </x:c>
      <x:c r="C22" s="5" t="n">
        <x:v>3</x:v>
      </x:c>
      <x:c r="D22" s="6" t="str">
        <x:v>LIQUIDIFICADOR MONDIAL L-900 FR</x:v>
      </x:c>
      <x:c r="E22" s="10"/>
      <x:c r="F22" s="10"/>
      <x:c r="G22" s="10"/>
      <x:c r="H22" s="10"/>
      <x:c r="I22" s="5"/>
      <x:c r="J22" s="10"/>
      <x:c r="K22" s="10"/>
      <x:c r="L22" s="10"/>
      <x:c r="M22" s="10"/>
      <x:c r="N22" s="10"/>
      <x:c r="O22" s="7" t="n">
        <x:f t="shared" si="1">SUM(E22:N22)</x:f>
        <x:v>0</x:v>
      </x:c>
      <x:c r="P22" s="7" t="n">
        <x:v>27</x:v>
      </x:c>
      <x:c r="Q22" s="12" t="n">
        <x:f t="shared" si="2">O22-P22</x:f>
        <x:v>-27</x:v>
      </x:c>
      <x:c r="R22" s="13"/>
      <x:c r="S22" s="12"/>
      <x:c r="T22" s="13"/>
      <x:c r="U22" s="13"/>
    </x:row>
    <x:row r="23">
      <x:c r="A23" s="5" t="n">
        <x:v>59796</x:v>
      </x:c>
      <x:c r="B23" s="5" t="n">
        <x:v>242</x:v>
      </x:c>
      <x:c r="C23" s="5" t="n">
        <x:v>0</x:v>
      </x:c>
      <x:c r="D23" s="6" t="str">
        <x:v>BALCAO RORATO TOQUIO 1,16 2 PTS 3 GAV</x:v>
      </x:c>
      <x:c r="E23" s="10"/>
      <x:c r="F23" s="10"/>
      <x:c r="G23" s="10"/>
      <x:c r="H23" s="10"/>
      <x:c r="I23" s="5"/>
      <x:c r="J23" s="10"/>
      <x:c r="K23" s="10"/>
      <x:c r="L23" s="10"/>
      <x:c r="M23" s="10"/>
      <x:c r="N23" s="10"/>
      <x:c r="O23" s="7" t="n">
        <x:f t="shared" si="1">SUM(E23:N23)</x:f>
        <x:v>0</x:v>
      </x:c>
      <x:c r="P23" s="7" t="n">
        <x:v>55</x:v>
      </x:c>
      <x:c r="Q23" s="12" t="n">
        <x:f t="shared" si="2">O23-P23</x:f>
        <x:v>-55</x:v>
      </x:c>
      <x:c r="R23" s="13"/>
      <x:c r="S23" s="12"/>
      <x:c r="T23" s="13"/>
      <x:c r="U23" s="13"/>
    </x:row>
    <x:row r="24">
      <x:c r="A24" s="5" t="n">
        <x:v>59849</x:v>
      </x:c>
      <x:c r="B24" s="5" t="n">
        <x:v>3</x:v>
      </x:c>
      <x:c r="C24" s="5" t="n">
        <x:v>2</x:v>
      </x:c>
      <x:c r="D24" s="6" t="str">
        <x:v>ESPREMEDOR MONDIAL PREMIUM E-02</x:v>
      </x:c>
      <x:c r="E24" s="10"/>
      <x:c r="F24" s="10"/>
      <x:c r="G24" s="10"/>
      <x:c r="H24" s="10"/>
      <x:c r="I24" s="5"/>
      <x:c r="J24" s="10"/>
      <x:c r="K24" s="10"/>
      <x:c r="L24" s="5" t="n">
        <x:v>1</x:v>
      </x:c>
      <x:c r="M24" s="5"/>
      <x:c r="N24" s="5"/>
      <x:c r="O24" s="7" t="n">
        <x:f t="shared" si="1">SUM(E24:N24)</x:f>
        <x:v>1</x:v>
      </x:c>
      <x:c r="P24" s="7" t="n">
        <x:v>1</x:v>
      </x:c>
      <x:c r="Q24" s="12" t="n">
        <x:f t="shared" si="2">O24-P24</x:f>
        <x:v>0</x:v>
      </x:c>
      <x:c r="R24" s="13"/>
      <x:c r="S24" s="12"/>
      <x:c r="T24" s="13"/>
      <x:c r="U24" s="13"/>
    </x:row>
    <x:row r="25">
      <x:c r="A25" s="5" t="n">
        <x:v>65199</x:v>
      </x:c>
      <x:c r="B25" s="5" t="n">
        <x:v>1</x:v>
      </x:c>
      <x:c r="C25" s="5" t="n">
        <x:v>2</x:v>
      </x:c>
      <x:c r="D25" s="6" t="str">
        <x:v>MAQUINA DE COSTURA SINGER M1605 6 PONTOS</x:v>
      </x:c>
      <x:c r="E25" s="10"/>
      <x:c r="F25" s="10"/>
      <x:c r="G25" s="10"/>
      <x:c r="H25" s="10"/>
      <x:c r="I25" s="5"/>
      <x:c r="J25" s="10"/>
      <x:c r="K25" s="10"/>
      <x:c r="L25" s="10"/>
      <x:c r="M25" s="10"/>
      <x:c r="N25" s="10"/>
      <x:c r="O25" s="7" t="n">
        <x:f t="shared" si="1">SUM(E25:N25)</x:f>
        <x:v>0</x:v>
      </x:c>
      <x:c r="P25" s="7" t="n">
        <x:v>4</x:v>
      </x:c>
      <x:c r="Q25" s="12" t="n">
        <x:f t="shared" si="2">O25-P25</x:f>
        <x:v>-4</x:v>
      </x:c>
      <x:c r="R25" s="13"/>
      <x:c r="S25" s="12"/>
      <x:c r="T25" s="13"/>
      <x:c r="U25" s="13"/>
    </x:row>
    <x:row r="26">
      <x:c r="A26" s="5" t="n">
        <x:v>65316</x:v>
      </x:c>
      <x:c r="B26" s="5" t="n">
        <x:v>2196</x:v>
      </x:c>
      <x:c r="C26" s="5" t="n">
        <x:v>3</x:v>
      </x:c>
      <x:c r="D26" s="6" t="str">
        <x:v>FERRO SECO PHILCO RETRO PFE01P BASE CERAMICA</x:v>
      </x:c>
      <x:c r="E26" s="10"/>
      <x:c r="F26" s="10"/>
      <x:c r="G26" s="10"/>
      <x:c r="H26" s="10"/>
      <x:c r="I26" s="5"/>
      <x:c r="J26" s="10"/>
      <x:c r="K26" s="10"/>
      <x:c r="L26" s="10"/>
      <x:c r="M26" s="10"/>
      <x:c r="N26" s="10"/>
      <x:c r="O26" s="7" t="n">
        <x:f t="shared" si="1">SUM(E26:N26)</x:f>
        <x:v>0</x:v>
      </x:c>
      <x:c r="P26" s="7" t="n">
        <x:v>112</x:v>
      </x:c>
      <x:c r="Q26" s="12" t="n">
        <x:f t="shared" si="2">O26-P26</x:f>
        <x:v>-112</x:v>
      </x:c>
      <x:c r="R26" s="13"/>
      <x:c r="S26" s="12"/>
      <x:c r="T26" s="13"/>
      <x:c r="U26" s="13"/>
    </x:row>
    <x:row r="27">
      <x:c r="A27" s="5" t="n">
        <x:v>65456</x:v>
      </x:c>
      <x:c r="B27" s="5" t="n">
        <x:v>3</x:v>
      </x:c>
      <x:c r="C27" s="5" t="n">
        <x:v>2</x:v>
      </x:c>
      <x:c r="D27" s="6" t="str">
        <x:v>BATEDEIRA MONDIAL B-44</x:v>
      </x:c>
      <x:c r="E27" s="10"/>
      <x:c r="F27" s="10"/>
      <x:c r="G27" s="10"/>
      <x:c r="H27" s="10"/>
      <x:c r="I27" s="5"/>
      <x:c r="J27" s="10"/>
      <x:c r="K27" s="10"/>
      <x:c r="L27" s="10"/>
      <x:c r="M27" s="10"/>
      <x:c r="N27" s="10"/>
      <x:c r="O27" s="7" t="n">
        <x:f t="shared" si="1">SUM(E27:N27)</x:f>
        <x:v>0</x:v>
      </x:c>
      <x:c r="P27" s="7" t="n">
        <x:v>145</x:v>
      </x:c>
      <x:c r="Q27" s="12" t="n">
        <x:f t="shared" si="2">O27-P27</x:f>
        <x:v>-145</x:v>
      </x:c>
      <x:c r="R27" s="16"/>
      <x:c r="S27" s="7"/>
      <x:c r="T27" s="16"/>
      <x:c r="U27" s="16"/>
    </x:row>
    <x:row r="28" ht="17.25" customHeight="1">
      <x:c r="A28" s="5" t="n">
        <x:v>65703</x:v>
      </x:c>
      <x:c r="B28" s="5" t="n">
        <x:v>3</x:v>
      </x:c>
      <x:c r="C28" s="5" t="n">
        <x:v>2</x:v>
      </x:c>
      <x:c r="D28" s="6" t="str">
        <x:v>BATEDEIRA BRITANIA PLANETARIA POWER PLUS BBP760</x:v>
      </x:c>
      <x:c r="E28" s="10"/>
      <x:c r="F28" s="10"/>
      <x:c r="G28" s="10"/>
      <x:c r="H28" s="10"/>
      <x:c r="I28" s="5"/>
      <x:c r="J28" s="10"/>
      <x:c r="K28" s="10"/>
      <x:c r="L28" s="10"/>
      <x:c r="M28" s="10"/>
      <x:c r="N28" s="10"/>
      <x:c r="O28" s="7" t="n">
        <x:f t="shared" si="1">SUM(E28:N28)</x:f>
        <x:v>0</x:v>
      </x:c>
      <x:c r="P28" s="7" t="n">
        <x:v>5</x:v>
      </x:c>
      <x:c r="Q28" s="12" t="n">
        <x:f t="shared" si="2">O28-P28</x:f>
        <x:v>-5</x:v>
      </x:c>
      <x:c r="R28" s="16"/>
      <x:c r="S28" s="12"/>
      <x:c r="T28" s="13"/>
      <x:c r="U28" s="13"/>
    </x:row>
    <x:row r="29">
      <x:c r="A29" s="5" t="n">
        <x:v>65703</x:v>
      </x:c>
      <x:c r="B29" s="5" t="n">
        <x:v>3</x:v>
      </x:c>
      <x:c r="C29" s="5" t="n">
        <x:v>3</x:v>
      </x:c>
      <x:c r="D29" s="6" t="str">
        <x:v>BATEDEIRA BRITANIA PLANETARIA POWER PLUS BBP760</x:v>
      </x:c>
      <x:c r="E29" s="10"/>
      <x:c r="F29" s="10"/>
      <x:c r="G29" s="10"/>
      <x:c r="H29" s="10"/>
      <x:c r="I29" s="5"/>
      <x:c r="J29" s="10"/>
      <x:c r="K29" s="10"/>
      <x:c r="L29" s="10"/>
      <x:c r="M29" s="10"/>
      <x:c r="N29" s="10"/>
      <x:c r="O29" s="7" t="n">
        <x:f t="shared" si="1">SUM(E29:N29)</x:f>
        <x:v>0</x:v>
      </x:c>
      <x:c r="P29" s="7" t="n">
        <x:v>9</x:v>
      </x:c>
      <x:c r="Q29" s="12" t="n">
        <x:f t="shared" si="2">O29-P29</x:f>
        <x:v>-9</x:v>
      </x:c>
      <x:c r="R29" s="16"/>
      <x:c r="S29" s="7"/>
      <x:c r="T29" s="16"/>
      <x:c r="U29" s="16"/>
    </x:row>
    <x:row r="30">
      <x:c r="A30" s="5" t="n">
        <x:v>65703</x:v>
      </x:c>
      <x:c r="B30" s="5" t="n">
        <x:v>9</x:v>
      </x:c>
      <x:c r="C30" s="5" t="n">
        <x:v>2</x:v>
      </x:c>
      <x:c r="D30" s="6" t="str">
        <x:v>BATEDEIRA BRITANIA PLANETARIA POWER PLUS BBP760</x:v>
      </x:c>
      <x:c r="E30" s="10"/>
      <x:c r="F30" s="10"/>
      <x:c r="G30" s="10"/>
      <x:c r="H30" s="10"/>
      <x:c r="I30" s="5"/>
      <x:c r="J30" s="10"/>
      <x:c r="K30" s="10"/>
      <x:c r="L30" s="10"/>
      <x:c r="M30" s="10"/>
      <x:c r="N30" s="10"/>
      <x:c r="O30" s="7" t="n">
        <x:f t="shared" si="1">SUM(E30:N30)</x:f>
        <x:v>0</x:v>
      </x:c>
      <x:c r="P30" s="7" t="n">
        <x:v>81</x:v>
      </x:c>
      <x:c r="Q30" s="12" t="n">
        <x:f t="shared" si="2">O30-P30</x:f>
        <x:v>-81</x:v>
      </x:c>
      <x:c r="R30" s="13"/>
      <x:c r="S30" s="12"/>
      <x:c r="T30" s="13"/>
      <x:c r="U30" s="13"/>
    </x:row>
    <x:row r="31">
      <x:c r="A31" s="5" t="n">
        <x:v>65728</x:v>
      </x:c>
      <x:c r="B31" s="5" t="n">
        <x:v>1</x:v>
      </x:c>
      <x:c r="C31" s="5" t="n">
        <x:v>3</x:v>
      </x:c>
      <x:c r="D31" s="6" t="str">
        <x:v>LIQUIDIFICADOR MONDIAL EASY POWER L-550W</x:v>
      </x:c>
      <x:c r="E31" s="10"/>
      <x:c r="F31" s="10"/>
      <x:c r="G31" s="10"/>
      <x:c r="H31" s="10"/>
      <x:c r="I31" s="5"/>
      <x:c r="J31" s="10"/>
      <x:c r="K31" s="10"/>
      <x:c r="L31" s="10"/>
      <x:c r="M31" s="10"/>
      <x:c r="N31" s="10"/>
      <x:c r="O31" s="7" t="n">
        <x:f t="shared" si="1">SUM(E31:N31)</x:f>
        <x:v>0</x:v>
      </x:c>
      <x:c r="P31" s="7" t="n">
        <x:v>194</x:v>
      </x:c>
      <x:c r="Q31" s="12" t="n">
        <x:f t="shared" si="2">O31-P31</x:f>
        <x:v>-194</x:v>
      </x:c>
      <x:c r="R31" s="16"/>
      <x:c r="S31" s="7"/>
      <x:c r="T31" s="16"/>
      <x:c r="U31" s="16"/>
    </x:row>
    <x:row r="32">
      <x:c r="A32" s="5" t="n">
        <x:v>65931</x:v>
      </x:c>
      <x:c r="B32" s="5" t="n">
        <x:v>1</x:v>
      </x:c>
      <x:c r="C32" s="5" t="n">
        <x:v>3</x:v>
      </x:c>
      <x:c r="D32" s="6" t="str">
        <x:v>LAVADORA ELECTROLUX LED14 14KG</x:v>
      </x:c>
      <x:c r="E32" s="10"/>
      <x:c r="F32" s="10"/>
      <x:c r="G32" s="10"/>
      <x:c r="H32" s="10"/>
      <x:c r="I32" s="5" t="n">
        <x:v>15</x:v>
      </x:c>
      <x:c r="J32" s="10"/>
      <x:c r="K32" s="10"/>
      <x:c r="L32" s="10"/>
      <x:c r="M32" s="10"/>
      <x:c r="N32" s="10"/>
      <x:c r="O32" s="7" t="n">
        <x:f t="shared" si="1">SUM(E32:N32)</x:f>
        <x:v>15</x:v>
      </x:c>
      <x:c r="P32" s="7" t="n">
        <x:v>15</x:v>
      </x:c>
      <x:c r="Q32" s="12" t="n">
        <x:f t="shared" si="2">O32-P32</x:f>
        <x:v>0</x:v>
      </x:c>
      <x:c r="R32" s="16"/>
      <x:c r="S32" s="7"/>
      <x:c r="T32" s="16"/>
      <x:c r="U32" s="16"/>
    </x:row>
    <x:row r="33">
      <x:c r="A33" s="5" t="n">
        <x:v>66208</x:v>
      </x:c>
      <x:c r="B33" s="5" t="n">
        <x:v>3</x:v>
      </x:c>
      <x:c r="C33" s="5" t="n">
        <x:v>2</x:v>
      </x:c>
      <x:c r="D33" s="6" t="str">
        <x:v>SANDUICHEIRA MONDIAL PRATIC SN-01</x:v>
      </x:c>
      <x:c r="E33" s="10"/>
      <x:c r="F33" s="10"/>
      <x:c r="G33" s="10"/>
      <x:c r="H33" s="10"/>
      <x:c r="I33" s="5"/>
      <x:c r="J33" s="10"/>
      <x:c r="K33" s="10"/>
      <x:c r="L33" s="10"/>
      <x:c r="M33" s="10"/>
      <x:c r="N33" s="10"/>
      <x:c r="O33" s="7" t="n">
        <x:f t="shared" si="1">SUM(E33:N33)</x:f>
        <x:v>0</x:v>
      </x:c>
      <x:c r="P33" s="7" t="n">
        <x:v>1499</x:v>
      </x:c>
      <x:c r="Q33" s="12" t="n">
        <x:f t="shared" si="2">O33-P33</x:f>
        <x:v>-1499</x:v>
      </x:c>
      <x:c r="R33" s="13"/>
      <x:c r="S33" s="12"/>
      <x:c r="T33" s="13"/>
      <x:c r="U33" s="13"/>
    </x:row>
    <x:row r="34">
      <x:c r="A34" s="5" t="n">
        <x:v>66208</x:v>
      </x:c>
      <x:c r="B34" s="5" t="n">
        <x:v>3</x:v>
      </x:c>
      <x:c r="C34" s="5" t="n">
        <x:v>3</x:v>
      </x:c>
      <x:c r="D34" s="6" t="str">
        <x:v>SANDUICHEIRA MONDIAL PRATIC SN-01</x:v>
      </x:c>
      <x:c r="E34" s="10"/>
      <x:c r="F34" s="10"/>
      <x:c r="G34" s="10"/>
      <x:c r="H34" s="10"/>
      <x:c r="I34" s="5"/>
      <x:c r="J34" s="10"/>
      <x:c r="K34" s="10"/>
      <x:c r="L34" s="10"/>
      <x:c r="M34" s="10"/>
      <x:c r="N34" s="10"/>
      <x:c r="O34" s="7" t="n">
        <x:f t="shared" si="1">SUM(E34:N34)</x:f>
        <x:v>0</x:v>
      </x:c>
      <x:c r="P34" s="7" t="n">
        <x:v>46</x:v>
      </x:c>
      <x:c r="Q34" s="12" t="n">
        <x:f t="shared" si="2">O34-P34</x:f>
        <x:v>-46</x:v>
      </x:c>
      <x:c r="R34" s="13"/>
      <x:c r="S34" s="12"/>
      <x:c r="T34" s="13"/>
      <x:c r="U34" s="13"/>
    </x:row>
    <x:row r="35">
      <x:c r="A35" s="5" t="n">
        <x:v>66213</x:v>
      </x:c>
      <x:c r="B35" s="5" t="n">
        <x:v>3</x:v>
      </x:c>
      <x:c r="C35" s="5" t="n">
        <x:v>2</x:v>
      </x:c>
      <x:c r="D35" s="6" t="str">
        <x:v>FRITADEIRA MONDIAL NEW PRATIC AIR FRYER 3,5L AF-31</x:v>
      </x:c>
      <x:c r="E35" s="10"/>
      <x:c r="F35" s="10"/>
      <x:c r="G35" s="10"/>
      <x:c r="H35" s="10"/>
      <x:c r="I35" s="5"/>
      <x:c r="J35" s="10"/>
      <x:c r="K35" s="10"/>
      <x:c r="L35" s="10"/>
      <x:c r="M35" s="10"/>
      <x:c r="N35" s="10"/>
      <x:c r="O35" s="7" t="n">
        <x:f t="shared" si="1">SUM(E35:N35)</x:f>
        <x:v>0</x:v>
      </x:c>
      <x:c r="P35" s="7" t="n">
        <x:v>690</x:v>
      </x:c>
      <x:c r="Q35" s="12" t="n">
        <x:f t="shared" si="2">O35-P35</x:f>
        <x:v>-690</x:v>
      </x:c>
      <x:c r="R35" s="13"/>
      <x:c r="S35" s="12"/>
      <x:c r="T35" s="13"/>
      <x:c r="U35" s="13"/>
    </x:row>
    <x:row r="36">
      <x:c r="A36" s="5" t="n">
        <x:v>66213</x:v>
      </x:c>
      <x:c r="B36" s="5" t="n">
        <x:v>3</x:v>
      </x:c>
      <x:c r="C36" s="5" t="n">
        <x:v>3</x:v>
      </x:c>
      <x:c r="D36" s="6" t="str">
        <x:v>FRITADEIRA MONDIAL NEW PRATIC AIR FRYER 3,5L AF-31</x:v>
      </x:c>
      <x:c r="E36" s="10"/>
      <x:c r="F36" s="10"/>
      <x:c r="G36" s="10"/>
      <x:c r="H36" s="10"/>
      <x:c r="I36" s="5"/>
      <x:c r="J36" s="10"/>
      <x:c r="K36" s="10"/>
      <x:c r="L36" s="10"/>
      <x:c r="M36" s="10"/>
      <x:c r="N36" s="10"/>
      <x:c r="O36" s="7" t="n">
        <x:f t="shared" si="1">SUM(E36:N36)</x:f>
        <x:v>0</x:v>
      </x:c>
      <x:c r="P36" s="7" t="n">
        <x:v>129</x:v>
      </x:c>
      <x:c r="Q36" s="12" t="n">
        <x:f t="shared" si="2">O36-P36</x:f>
        <x:v>-129</x:v>
      </x:c>
      <x:c r="R36" s="13"/>
      <x:c r="S36" s="12"/>
      <x:c r="T36" s="13"/>
      <x:c r="U36" s="13"/>
    </x:row>
    <x:row r="37">
      <x:c r="A37" s="5" t="n">
        <x:v>66382</x:v>
      </x:c>
      <x:c r="B37" s="5" t="n">
        <x:v>3</x:v>
      </x:c>
      <x:c r="C37" s="5" t="n">
        <x:v>3</x:v>
      </x:c>
      <x:c r="D37" s="6" t="str">
        <x:v>VENTILADOR MESA MONDIAL SUPER POWER 30CM VSP-30-B 60W</x:v>
      </x:c>
      <x:c r="E37" s="10"/>
      <x:c r="F37" s="10"/>
      <x:c r="G37" s="10"/>
      <x:c r="H37" s="10"/>
      <x:c r="I37" s="5"/>
      <x:c r="J37" s="28"/>
      <x:c r="K37" s="28"/>
      <x:c r="L37" s="28"/>
      <x:c r="M37" s="28"/>
      <x:c r="N37" s="28"/>
      <x:c r="O37" s="7" t="n">
        <x:f t="shared" si="1">SUM(E37:N37)</x:f>
        <x:v>0</x:v>
      </x:c>
      <x:c r="P37" s="7" t="n">
        <x:v>1</x:v>
      </x:c>
      <x:c r="Q37" s="12" t="n">
        <x:f t="shared" si="2">O37-P37</x:f>
        <x:v>-1</x:v>
      </x:c>
      <x:c r="R37" s="13"/>
      <x:c r="S37" s="12"/>
      <x:c r="T37" s="13"/>
      <x:c r="U37" s="13"/>
    </x:row>
    <x:row r="38">
      <x:c r="A38" s="5" t="n">
        <x:v>66383</x:v>
      </x:c>
      <x:c r="B38" s="5" t="n">
        <x:v>3</x:v>
      </x:c>
      <x:c r="C38" s="5" t="n">
        <x:v>2</x:v>
      </x:c>
      <x:c r="D38" s="6" t="str">
        <x:v>VENTILADOR MESA MONDIAL SUPER POWER 40CM VSP-40-B 140W</x:v>
      </x:c>
      <x:c r="E38" s="24"/>
      <x:c r="F38" s="24"/>
      <x:c r="G38" s="24"/>
      <x:c r="H38" s="24"/>
      <x:c r="I38" s="25"/>
      <x:c r="J38" s="24"/>
      <x:c r="K38" s="24"/>
      <x:c r="L38" s="25" t="n">
        <x:v>1</x:v>
      </x:c>
      <x:c r="M38" s="25"/>
      <x:c r="N38" s="25"/>
      <x:c r="O38" s="26" t="n">
        <x:f t="shared" si="1">SUM(E38:N38)</x:f>
        <x:v>1</x:v>
      </x:c>
      <x:c r="P38" s="26" t="n">
        <x:v>500</x:v>
      </x:c>
      <x:c r="Q38" s="27" t="n">
        <x:f t="shared" si="2">O38-P38</x:f>
        <x:v>-499</x:v>
      </x:c>
      <x:c r="R38" s="13"/>
      <x:c r="S38" s="12"/>
      <x:c r="T38" s="13"/>
      <x:c r="U38" s="13"/>
    </x:row>
    <x:row r="39">
      <x:c r="A39" s="5" t="n">
        <x:v>66383</x:v>
      </x:c>
      <x:c r="B39" s="5" t="n">
        <x:v>3</x:v>
      </x:c>
      <x:c r="C39" s="5" t="n">
        <x:v>3</x:v>
      </x:c>
      <x:c r="D39" s="6" t="str">
        <x:v>VENTILADOR MESA MONDIAL SUPER POWER 40CM VSP-40-B 140W</x:v>
      </x:c>
      <x:c r="E39" s="29"/>
      <x:c r="F39" s="29"/>
      <x:c r="G39" s="29"/>
      <x:c r="H39" s="29"/>
      <x:c r="I39" s="30"/>
      <x:c r="J39" s="29"/>
      <x:c r="K39" s="10"/>
      <x:c r="L39" s="10"/>
      <x:c r="M39" s="10"/>
      <x:c r="N39" s="10"/>
      <x:c r="O39" s="31" t="n">
        <x:f t="shared" si="1">SUM(E39:N39)</x:f>
        <x:v>0</x:v>
      </x:c>
      <x:c r="P39" s="31" t="n">
        <x:v>90</x:v>
      </x:c>
      <x:c r="Q39" s="32" t="n">
        <x:f t="shared" si="2">O39-P39</x:f>
        <x:v>-90</x:v>
      </x:c>
      <x:c r="R39" s="13"/>
      <x:c r="S39" s="12"/>
      <x:c r="T39" s="13"/>
      <x:c r="U39" s="13"/>
    </x:row>
    <x:row r="40">
      <x:c r="A40" s="5" t="n">
        <x:v>66878</x:v>
      </x:c>
      <x:c r="B40" s="5" t="n">
        <x:v>1</x:v>
      </x:c>
      <x:c r="C40" s="5" t="n">
        <x:v>2</x:v>
      </x:c>
      <x:c r="D40" s="6" t="str">
        <x:v>FREEZER CONSUL HORIZ CHA31 ENERG 309L</x:v>
      </x:c>
      <x:c r="E40" s="10"/>
      <x:c r="F40" s="10"/>
      <x:c r="G40" s="10"/>
      <x:c r="H40" s="10"/>
      <x:c r="I40" s="5"/>
      <x:c r="J40" s="10"/>
      <x:c r="K40" s="10"/>
      <x:c r="L40" s="10"/>
      <x:c r="M40" s="10"/>
      <x:c r="N40" s="10"/>
      <x:c r="O40" s="7" t="n">
        <x:f t="shared" si="1">SUM(E40:N40)</x:f>
        <x:v>0</x:v>
      </x:c>
      <x:c r="P40" s="7" t="n">
        <x:v>110</x:v>
      </x:c>
      <x:c r="Q40" s="12" t="n">
        <x:f t="shared" si="2">O40-P40</x:f>
        <x:v>-110</x:v>
      </x:c>
      <x:c r="R40" s="13"/>
      <x:c r="S40" s="12"/>
      <x:c r="T40" s="13"/>
      <x:c r="U40" s="13"/>
    </x:row>
    <x:row r="41">
      <x:c r="A41" s="5" t="n">
        <x:v>67102</x:v>
      </x:c>
      <x:c r="B41" s="5" t="n">
        <x:v>1205</x:v>
      </x:c>
      <x:c r="C41" s="5" t="n">
        <x:v>2</x:v>
      </x:c>
      <x:c r="D41" s="6" t="str">
        <x:v>FRITADEIRA MONDIAL AIR FRYER 4L AFN40</x:v>
      </x:c>
      <x:c r="E41" s="10"/>
      <x:c r="F41" s="10"/>
      <x:c r="G41" s="10"/>
      <x:c r="H41" s="10"/>
      <x:c r="I41" s="5"/>
      <x:c r="J41" s="10"/>
      <x:c r="K41" s="10"/>
      <x:c r="L41" s="5" t="n">
        <x:v>1</x:v>
      </x:c>
      <x:c r="M41" s="5"/>
      <x:c r="N41" s="5"/>
      <x:c r="O41" s="7" t="n">
        <x:f t="shared" si="1">SUM(E41:N41)</x:f>
        <x:v>1</x:v>
      </x:c>
      <x:c r="P41" s="7" t="n">
        <x:v>1</x:v>
      </x:c>
      <x:c r="Q41" s="12" t="n">
        <x:f t="shared" si="2">O41-P41</x:f>
        <x:v>0</x:v>
      </x:c>
      <x:c r="R41" s="13"/>
      <x:c r="S41" s="12"/>
      <x:c r="T41" s="13"/>
      <x:c r="U41" s="13"/>
    </x:row>
    <x:row r="42">
      <x:c r="A42" s="5" t="n">
        <x:v>67292</x:v>
      </x:c>
      <x:c r="B42" s="5" t="n">
        <x:v>20</x:v>
      </x:c>
      <x:c r="C42" s="5" t="n">
        <x:v>2</x:v>
      </x:c>
      <x:c r="D42" s="6" t="str">
        <x:v>MAQUINA DE COSTURA SINGER FACILITA PRO 4423 22 PONTOS</x:v>
      </x:c>
      <x:c r="E42" s="10"/>
      <x:c r="F42" s="10"/>
      <x:c r="G42" s="10"/>
      <x:c r="H42" s="10"/>
      <x:c r="I42" s="5"/>
      <x:c r="J42" s="10"/>
      <x:c r="K42" s="10"/>
      <x:c r="L42" s="10"/>
      <x:c r="M42" s="10"/>
      <x:c r="N42" s="10"/>
      <x:c r="O42" s="7" t="n">
        <x:f t="shared" si="1">SUM(E42:N42)</x:f>
        <x:v>0</x:v>
      </x:c>
      <x:c r="P42" s="7" t="n">
        <x:v>144</x:v>
      </x:c>
      <x:c r="Q42" s="12" t="n">
        <x:f t="shared" si="2">O42-P42</x:f>
        <x:v>-144</x:v>
      </x:c>
      <x:c r="R42" s="13"/>
      <x:c r="S42" s="12"/>
      <x:c r="T42" s="13"/>
      <x:c r="U42" s="13"/>
    </x:row>
    <x:row r="43">
      <x:c r="A43" s="5" t="n">
        <x:v>67292</x:v>
      </x:c>
      <x:c r="B43" s="5" t="n">
        <x:v>20</x:v>
      </x:c>
      <x:c r="C43" s="5" t="n">
        <x:v>3</x:v>
      </x:c>
      <x:c r="D43" s="6" t="str">
        <x:v>MAQUINA DE COSTURA SINGER FACILITA PRO 4423 22 PONTOS</x:v>
      </x:c>
      <x:c r="E43" s="10"/>
      <x:c r="F43" s="10"/>
      <x:c r="G43" s="10"/>
      <x:c r="H43" s="10"/>
      <x:c r="I43" s="5"/>
      <x:c r="J43" s="10"/>
      <x:c r="K43" s="10"/>
      <x:c r="L43" s="10"/>
      <x:c r="M43" s="10"/>
      <x:c r="N43" s="10"/>
      <x:c r="O43" s="7" t="n">
        <x:f t="shared" si="1">SUM(E43:N43)</x:f>
        <x:v>0</x:v>
      </x:c>
      <x:c r="P43" s="7" t="n">
        <x:v>2</x:v>
      </x:c>
      <x:c r="Q43" s="12" t="n">
        <x:f t="shared" si="2">O43-P43</x:f>
        <x:v>-2</x:v>
      </x:c>
      <x:c r="R43" s="13"/>
      <x:c r="S43" s="12"/>
      <x:c r="T43" s="13"/>
      <x:c r="U43" s="13"/>
    </x:row>
    <x:row r="44">
      <x:c r="A44" s="5" t="n">
        <x:v>67542</x:v>
      </x:c>
      <x:c r="B44" s="5" t="n">
        <x:v>3</x:v>
      </x:c>
      <x:c r="C44" s="5" t="n">
        <x:v>4</x:v>
      </x:c>
      <x:c r="D44" s="6" t="str">
        <x:v>TV 32'' AIWA SMART ANDROID HD AWS-TV32BL02A</x:v>
      </x:c>
      <x:c r="E44" s="10"/>
      <x:c r="F44" s="10"/>
      <x:c r="G44" s="10"/>
      <x:c r="H44" s="10"/>
      <x:c r="I44" s="5"/>
      <x:c r="J44" s="10"/>
      <x:c r="K44" s="10"/>
      <x:c r="L44" s="5" t="n">
        <x:v>1</x:v>
      </x:c>
      <x:c r="M44" s="5"/>
      <x:c r="N44" s="5"/>
      <x:c r="O44" s="7" t="n">
        <x:f t="shared" si="1">SUM(E44:N44)</x:f>
        <x:v>1</x:v>
      </x:c>
      <x:c r="P44" s="7" t="n">
        <x:v>1</x:v>
      </x:c>
      <x:c r="Q44" s="12" t="n">
        <x:f t="shared" si="2">O44-P44</x:f>
        <x:v>0</x:v>
      </x:c>
      <x:c r="R44" s="13"/>
      <x:c r="S44" s="12"/>
      <x:c r="T44" s="13"/>
      <x:c r="U44" s="13"/>
    </x:row>
    <x:row r="45">
      <x:c r="A45" s="5" t="n">
        <x:v>67665</x:v>
      </x:c>
      <x:c r="B45" s="5" t="n">
        <x:v>4</x:v>
      </x:c>
      <x:c r="C45" s="5" t="n">
        <x:v>2</x:v>
      </x:c>
      <x:c r="D45" s="6" t="str">
        <x:v>REFRIGERADOR CONSUL CRM44AK F.FREE 386L</x:v>
      </x:c>
      <x:c r="E45" s="10"/>
      <x:c r="F45" s="10"/>
      <x:c r="G45" s="10"/>
      <x:c r="H45" s="10"/>
      <x:c r="I45" s="5"/>
      <x:c r="J45" s="10"/>
      <x:c r="K45" s="10"/>
      <x:c r="L45" s="5" t="n">
        <x:v>1</x:v>
      </x:c>
      <x:c r="M45" s="5"/>
      <x:c r="N45" s="5"/>
      <x:c r="O45" s="7" t="n">
        <x:f t="shared" si="1">SUM(E45:N45)</x:f>
        <x:v>1</x:v>
      </x:c>
      <x:c r="P45" s="7" t="n">
        <x:v>1</x:v>
      </x:c>
      <x:c r="Q45" s="12" t="n">
        <x:f t="shared" si="2">O45-P45</x:f>
        <x:v>0</x:v>
      </x:c>
      <x:c r="R45" s="13"/>
      <x:c r="S45" s="12"/>
      <x:c r="T45" s="13"/>
      <x:c r="U45" s="13"/>
    </x:row>
    <x:row r="46">
      <x:c r="A46" s="5" t="n">
        <x:v>67665</x:v>
      </x:c>
      <x:c r="B46" s="5" t="n">
        <x:v>4</x:v>
      </x:c>
      <x:c r="C46" s="5" t="n">
        <x:v>3</x:v>
      </x:c>
      <x:c r="D46" s="6" t="str">
        <x:v>REFRIGERADOR CONSUL CRM44AK F.FREE 386L</x:v>
      </x:c>
      <x:c r="E46" s="10"/>
      <x:c r="F46" s="10"/>
      <x:c r="G46" s="10"/>
      <x:c r="H46" s="10"/>
      <x:c r="I46" s="5" t="n">
        <x:v>2</x:v>
      </x:c>
      <x:c r="J46" s="10"/>
      <x:c r="K46" s="10"/>
      <x:c r="L46" s="10"/>
      <x:c r="M46" s="10"/>
      <x:c r="N46" s="10"/>
      <x:c r="O46" s="7" t="n">
        <x:f t="shared" si="1">SUM(E46:N46)</x:f>
        <x:v>2</x:v>
      </x:c>
      <x:c r="P46" s="7" t="n">
        <x:v>2</x:v>
      </x:c>
      <x:c r="Q46" s="12" t="n">
        <x:f t="shared" si="2">O46-P46</x:f>
        <x:v>0</x:v>
      </x:c>
      <x:c r="R46" s="13"/>
      <x:c r="S46" s="12"/>
      <x:c r="T46" s="13"/>
      <x:c r="U46" s="13"/>
    </x:row>
    <x:row r="47">
      <x:c r="A47" s="5" t="n">
        <x:v>67666</x:v>
      </x:c>
      <x:c r="B47" s="5" t="n">
        <x:v>1</x:v>
      </x:c>
      <x:c r="C47" s="5" t="n">
        <x:v>3</x:v>
      </x:c>
      <x:c r="D47" s="6" t="str">
        <x:v>REFRIGERADOR CONSUL CRM44AB F.FREE 386L</x:v>
      </x:c>
      <x:c r="E47" s="5"/>
      <x:c r="F47" s="5"/>
      <x:c r="G47" s="10"/>
      <x:c r="H47" s="10"/>
      <x:c r="I47" s="5"/>
      <x:c r="J47" s="10"/>
      <x:c r="K47" s="10"/>
      <x:c r="L47" s="5" t="n">
        <x:v>13</x:v>
      </x:c>
      <x:c r="M47" s="5"/>
      <x:c r="N47" s="5"/>
      <x:c r="O47" s="7" t="n">
        <x:f t="shared" si="1">SUM(E47:N47)</x:f>
        <x:v>13</x:v>
      </x:c>
      <x:c r="P47" s="7" t="n">
        <x:v>14</x:v>
      </x:c>
      <x:c r="Q47" s="12" t="n">
        <x:f t="shared" si="2">O47-P47</x:f>
        <x:v>-1</x:v>
      </x:c>
      <x:c r="R47" s="16"/>
      <x:c r="S47" s="7"/>
      <x:c r="T47" s="33"/>
      <x:c r="U47" s="33"/>
    </x:row>
    <x:row r="48">
      <x:c r="A48" s="5" t="n">
        <x:v>68439</x:v>
      </x:c>
      <x:c r="B48" s="5" t="n">
        <x:v>605</x:v>
      </x:c>
      <x:c r="C48" s="5" t="n">
        <x:v>3</x:v>
      </x:c>
      <x:c r="D48" s="6" t="str">
        <x:v>GRILL MONDIAL PRESS PG-01</x:v>
      </x:c>
      <x:c r="E48" s="10"/>
      <x:c r="F48" s="10"/>
      <x:c r="G48" s="10"/>
      <x:c r="H48" s="10"/>
      <x:c r="I48" s="5"/>
      <x:c r="J48" s="10"/>
      <x:c r="K48" s="10"/>
      <x:c r="L48" s="10"/>
      <x:c r="M48" s="10"/>
      <x:c r="N48" s="10"/>
      <x:c r="O48" s="7" t="n">
        <x:f t="shared" si="1">SUM(E48:N48)</x:f>
        <x:v>0</x:v>
      </x:c>
      <x:c r="P48" s="7" t="n">
        <x:v>83</x:v>
      </x:c>
      <x:c r="Q48" s="12" t="n">
        <x:f t="shared" si="2">O48-P48</x:f>
        <x:v>-83</x:v>
      </x:c>
      <x:c r="R48" s="13"/>
      <x:c r="S48" s="12"/>
      <x:c r="T48" s="33"/>
      <x:c r="U48" s="33"/>
    </x:row>
    <x:row r="49">
      <x:c r="A49" s="5" t="n">
        <x:v>68685</x:v>
      </x:c>
      <x:c r="B49" s="5" t="n">
        <x:v>3</x:v>
      </x:c>
      <x:c r="C49" s="5" t="n">
        <x:v>4</x:v>
      </x:c>
      <x:c r="D49" s="6" t="str">
        <x:v>TV 43" PHILIPS SMART GOOGLE TV FULL HD 43PFG6918/78</x:v>
      </x:c>
      <x:c r="E49" s="10"/>
      <x:c r="F49" s="10"/>
      <x:c r="G49" s="10"/>
      <x:c r="H49" s="10"/>
      <x:c r="I49" s="5"/>
      <x:c r="J49" s="10"/>
      <x:c r="K49" s="10"/>
      <x:c r="L49" s="10"/>
      <x:c r="M49" s="10"/>
      <x:c r="N49" s="10"/>
      <x:c r="O49" s="7" t="n">
        <x:f t="shared" si="1">SUM(E49:N49)</x:f>
        <x:v>0</x:v>
      </x:c>
      <x:c r="P49" s="7" t="n">
        <x:v>1</x:v>
      </x:c>
      <x:c r="Q49" s="12" t="n">
        <x:f t="shared" si="2">O49-P49</x:f>
        <x:v>-1</x:v>
      </x:c>
      <x:c r="R49" s="13"/>
      <x:c r="S49" s="12"/>
      <x:c r="T49" s="33"/>
      <x:c r="U49" s="33"/>
    </x:row>
    <x:row r="50">
      <x:c r="A50" s="5" t="n">
        <x:v>68729</x:v>
      </x:c>
      <x:c r="B50" s="5" t="n">
        <x:v>240</x:v>
      </x:c>
      <x:c r="C50" s="5" t="n">
        <x:v>2</x:v>
      </x:c>
      <x:c r="D50" s="6" t="str">
        <x:v>VENTILADOR MESA ULTRA 30CM V-30-6P 50W</x:v>
      </x:c>
      <x:c r="E50" s="10"/>
      <x:c r="F50" s="10"/>
      <x:c r="G50" s="10"/>
      <x:c r="H50" s="10"/>
      <x:c r="I50" s="5"/>
      <x:c r="J50" s="10"/>
      <x:c r="K50" s="10"/>
      <x:c r="L50" s="10"/>
      <x:c r="M50" s="10"/>
      <x:c r="N50" s="10"/>
      <x:c r="O50" s="7" t="n">
        <x:f t="shared" si="1">SUM(E50:N50)</x:f>
        <x:v>0</x:v>
      </x:c>
      <x:c r="P50" s="7" t="n">
        <x:v>300</x:v>
      </x:c>
      <x:c r="Q50" s="12" t="n">
        <x:f t="shared" si="2">O50-P50</x:f>
        <x:v>-300</x:v>
      </x:c>
      <x:c r="R50" s="16"/>
      <x:c r="S50" s="12"/>
      <x:c r="T50" s="33"/>
      <x:c r="U50" s="33"/>
    </x:row>
    <x:row r="51">
      <x:c r="A51" s="5" t="n">
        <x:v>68729</x:v>
      </x:c>
      <x:c r="B51" s="5" t="n">
        <x:v>240</x:v>
      </x:c>
      <x:c r="C51" s="5" t="n">
        <x:v>3</x:v>
      </x:c>
      <x:c r="D51" s="6" t="str">
        <x:v>VENTILADOR MESA ULTRA 30CM V-30-6P 50W</x:v>
      </x:c>
      <x:c r="E51" s="10"/>
      <x:c r="F51" s="10"/>
      <x:c r="G51" s="10"/>
      <x:c r="H51" s="10"/>
      <x:c r="I51" s="5"/>
      <x:c r="J51" s="10"/>
      <x:c r="K51" s="10"/>
      <x:c r="L51" s="10"/>
      <x:c r="M51" s="10"/>
      <x:c r="N51" s="10"/>
      <x:c r="O51" s="7" t="n">
        <x:f t="shared" si="1">SUM(E51:N51)</x:f>
        <x:v>0</x:v>
      </x:c>
      <x:c r="P51" s="7" t="n">
        <x:v>22</x:v>
      </x:c>
      <x:c r="Q51" s="12" t="n">
        <x:f t="shared" si="2">O51-P51</x:f>
        <x:v>-22</x:v>
      </x:c>
      <x:c r="R51" s="13"/>
      <x:c r="S51" s="12"/>
      <x:c r="T51" s="33"/>
      <x:c r="U51" s="33"/>
    </x:row>
    <x:row r="52">
      <x:c r="A52" s="5" t="n">
        <x:v>68731</x:v>
      </x:c>
      <x:c r="B52" s="5" t="n">
        <x:v>52</x:v>
      </x:c>
      <x:c r="C52" s="5" t="n">
        <x:v>2</x:v>
      </x:c>
      <x:c r="D52" s="6" t="str">
        <x:v>VENTILADOR COLUNA MONDIAL40CM VSP-40C-NB 140W</x:v>
      </x:c>
      <x:c r="E52" s="24"/>
      <x:c r="F52" s="24"/>
      <x:c r="G52" s="24"/>
      <x:c r="H52" s="25"/>
      <x:c r="I52" s="25"/>
      <x:c r="J52" s="24"/>
      <x:c r="K52" s="24"/>
      <x:c r="L52" s="25" t="n">
        <x:v>1</x:v>
      </x:c>
      <x:c r="M52" s="25"/>
      <x:c r="N52" s="25"/>
      <x:c r="O52" s="26" t="n">
        <x:f t="shared" si="1">SUM(E52:N52)</x:f>
        <x:v>1</x:v>
      </x:c>
      <x:c r="P52" s="26" t="n">
        <x:v>915</x:v>
      </x:c>
      <x:c r="Q52" s="27" t="n">
        <x:f t="shared" si="2">O52-P52</x:f>
        <x:v>-914</x:v>
      </x:c>
      <x:c r="R52" s="16"/>
      <x:c r="S52" s="7"/>
      <x:c r="T52" s="16"/>
      <x:c r="U52" s="16"/>
    </x:row>
    <x:row r="53">
      <x:c r="A53" s="5" t="n">
        <x:v>68731</x:v>
      </x:c>
      <x:c r="B53" s="5" t="n">
        <x:v>52</x:v>
      </x:c>
      <x:c r="C53" s="5" t="n">
        <x:v>3</x:v>
      </x:c>
      <x:c r="D53" s="6" t="str">
        <x:v>VENTILADOR COLUNA MONDIAL40CM VSP-40C-NB 140W</x:v>
      </x:c>
      <x:c r="E53" s="10"/>
      <x:c r="F53" s="10"/>
      <x:c r="G53" s="10"/>
      <x:c r="H53" s="10"/>
      <x:c r="I53" s="5"/>
      <x:c r="J53" s="10"/>
      <x:c r="K53" s="10"/>
      <x:c r="L53" s="5" t="n">
        <x:v>1</x:v>
      </x:c>
      <x:c r="M53" s="5"/>
      <x:c r="N53" s="5"/>
      <x:c r="O53" s="7" t="n">
        <x:f t="shared" si="1">SUM(E53:N53)</x:f>
        <x:v>1</x:v>
      </x:c>
      <x:c r="P53" s="7" t="n">
        <x:v>137</x:v>
      </x:c>
      <x:c r="Q53" s="12" t="n">
        <x:f t="shared" si="2">O53-P53</x:f>
        <x:v>-136</x:v>
      </x:c>
      <x:c r="R53" s="13"/>
      <x:c r="S53" s="12"/>
      <x:c r="T53" s="13"/>
      <x:c r="U53" s="13"/>
    </x:row>
    <x:row r="54">
      <x:c r="A54" s="5" t="n">
        <x:v>68732</x:v>
      </x:c>
      <x:c r="B54" s="5" t="n">
        <x:v>3</x:v>
      </x:c>
      <x:c r="C54" s="5" t="n">
        <x:v>2</x:v>
      </x:c>
      <x:c r="D54" s="6" t="str">
        <x:v>VENTILADOR PAREDE MONDIAL 50CM NVP-PRO-50 150W</x:v>
      </x:c>
      <x:c r="E54" s="10"/>
      <x:c r="F54" s="10"/>
      <x:c r="G54" s="10"/>
      <x:c r="H54" s="5"/>
      <x:c r="I54" s="5"/>
      <x:c r="J54" s="10"/>
      <x:c r="K54" s="10"/>
      <x:c r="L54" s="10"/>
      <x:c r="M54" s="10"/>
      <x:c r="N54" s="10"/>
      <x:c r="O54" s="7" t="n">
        <x:f t="shared" si="1">SUM(E54:N54)</x:f>
        <x:v>0</x:v>
      </x:c>
      <x:c r="P54" s="7" t="n">
        <x:v>782</x:v>
      </x:c>
      <x:c r="Q54" s="12" t="n">
        <x:f t="shared" si="2">O54-P54</x:f>
        <x:v>-782</x:v>
      </x:c>
      <x:c r="R54" s="16"/>
      <x:c r="S54" s="7"/>
      <x:c r="T54" s="16"/>
      <x:c r="U54" s="16"/>
    </x:row>
    <x:row r="55">
      <x:c r="A55" s="5" t="n">
        <x:v>68815</x:v>
      </x:c>
      <x:c r="B55" s="5" t="n">
        <x:v>1</x:v>
      </x:c>
      <x:c r="C55" s="5" t="n">
        <x:v>2</x:v>
      </x:c>
      <x:c r="D55" s="6" t="str">
        <x:v>SECADOR PAREDE GAMA SPA DRYER TURBO 2000W</x:v>
      </x:c>
      <x:c r="E55" s="10"/>
      <x:c r="F55" s="10"/>
      <x:c r="G55" s="10"/>
      <x:c r="H55" s="10"/>
      <x:c r="I55" s="5"/>
      <x:c r="J55" s="10"/>
      <x:c r="K55" s="10"/>
      <x:c r="L55" s="10"/>
      <x:c r="M55" s="10"/>
      <x:c r="N55" s="10"/>
      <x:c r="O55" s="7" t="n">
        <x:f t="shared" si="1">SUM(E55:N55)</x:f>
        <x:v>0</x:v>
      </x:c>
      <x:c r="P55" s="7" t="n">
        <x:v>38</x:v>
      </x:c>
      <x:c r="Q55" s="12" t="n">
        <x:f t="shared" si="2">O55-P55</x:f>
        <x:v>-38</x:v>
      </x:c>
      <x:c r="R55" s="13"/>
      <x:c r="S55" s="12"/>
      <x:c r="T55" s="13"/>
      <x:c r="U55" s="13"/>
    </x:row>
    <x:row r="56">
      <x:c r="A56" s="5" t="n">
        <x:v>68815</x:v>
      </x:c>
      <x:c r="B56" s="5" t="n">
        <x:v>1</x:v>
      </x:c>
      <x:c r="C56" s="5" t="n">
        <x:v>3</x:v>
      </x:c>
      <x:c r="D56" s="6" t="str">
        <x:v>SECADOR PAREDE GAMA SPA DRYER TURBO 2000W</x:v>
      </x:c>
      <x:c r="E56" s="10"/>
      <x:c r="F56" s="10"/>
      <x:c r="G56" s="10"/>
      <x:c r="H56" s="10"/>
      <x:c r="I56" s="5"/>
      <x:c r="J56" s="5"/>
      <x:c r="K56" s="10"/>
      <x:c r="L56" s="5"/>
      <x:c r="M56" s="5"/>
      <x:c r="N56" s="5"/>
      <x:c r="O56" s="7" t="n">
        <x:f t="shared" si="1">SUM(E56:N56)</x:f>
        <x:v>0</x:v>
      </x:c>
      <x:c r="P56" s="7" t="n">
        <x:v>49</x:v>
      </x:c>
      <x:c r="Q56" s="12" t="n">
        <x:f t="shared" si="2">O56-P56</x:f>
        <x:v>-49</x:v>
      </x:c>
      <x:c r="R56" s="16"/>
      <x:c r="S56" s="7"/>
      <x:c r="T56" s="16"/>
      <x:c r="U56" s="16"/>
    </x:row>
    <x:row r="57">
      <x:c r="A57" s="5" t="n">
        <x:v>68826</x:v>
      </x:c>
      <x:c r="B57" s="5" t="n">
        <x:v>1</x:v>
      </x:c>
      <x:c r="C57" s="5" t="n">
        <x:v>2</x:v>
      </x:c>
      <x:c r="D57" s="6" t="str">
        <x:v>CLIMATIZADOR PHILCO PCL14F FRIO 14L</x:v>
      </x:c>
      <x:c r="E57" s="10"/>
      <x:c r="F57" s="10"/>
      <x:c r="G57" s="10"/>
      <x:c r="H57" s="10"/>
      <x:c r="I57" s="5"/>
      <x:c r="J57" s="10"/>
      <x:c r="K57" s="10"/>
      <x:c r="L57" s="10"/>
      <x:c r="M57" s="10"/>
      <x:c r="N57" s="10"/>
      <x:c r="O57" s="7" t="n">
        <x:f t="shared" si="1">SUM(E57:N57)</x:f>
        <x:v>0</x:v>
      </x:c>
      <x:c r="P57" s="7" t="n">
        <x:v>3</x:v>
      </x:c>
      <x:c r="Q57" s="12" t="n">
        <x:f t="shared" si="2">O57-P57</x:f>
        <x:v>-3</x:v>
      </x:c>
      <x:c r="R57" s="13"/>
      <x:c r="S57" s="12"/>
      <x:c r="T57" s="13"/>
      <x:c r="U57" s="13"/>
    </x:row>
    <x:row r="58">
      <x:c r="A58" s="5" t="n">
        <x:v>68826</x:v>
      </x:c>
      <x:c r="B58" s="5" t="n">
        <x:v>1</x:v>
      </x:c>
      <x:c r="C58" s="5" t="n">
        <x:v>3</x:v>
      </x:c>
      <x:c r="D58" s="6" t="str">
        <x:v>CLIMATIZADOR PHILCO PCL14F FRIO 14L</x:v>
      </x:c>
      <x:c r="E58" s="10"/>
      <x:c r="F58" s="10"/>
      <x:c r="G58" s="10"/>
      <x:c r="H58" s="10"/>
      <x:c r="I58" s="5"/>
      <x:c r="J58" s="10"/>
      <x:c r="K58" s="10"/>
      <x:c r="L58" s="10"/>
      <x:c r="M58" s="10"/>
      <x:c r="N58" s="10"/>
      <x:c r="O58" s="7" t="n">
        <x:f t="shared" si="1">SUM(E58:N58)</x:f>
        <x:v>0</x:v>
      </x:c>
      <x:c r="P58" s="7" t="n">
        <x:v>2</x:v>
      </x:c>
      <x:c r="Q58" s="12" t="n">
        <x:f t="shared" si="2">O58-P58</x:f>
        <x:v>-2</x:v>
      </x:c>
      <x:c r="R58" s="13"/>
      <x:c r="S58" s="12"/>
      <x:c r="T58" s="13"/>
      <x:c r="U58" s="13"/>
    </x:row>
    <x:row r="59">
      <x:c r="A59" s="5" t="n">
        <x:v>68828</x:v>
      </x:c>
      <x:c r="B59" s="5" t="n">
        <x:v>1</x:v>
      </x:c>
      <x:c r="C59" s="5" t="n">
        <x:v>2</x:v>
      </x:c>
      <x:c r="D59" s="6" t="str">
        <x:v>SPLIT AGRATTO LIV 9000BTUS INVERTER FRIO</x:v>
      </x:c>
      <x:c r="E59" s="10"/>
      <x:c r="F59" s="10"/>
      <x:c r="G59" s="10"/>
      <x:c r="H59" s="10"/>
      <x:c r="I59" s="5" t="n">
        <x:v>1</x:v>
      </x:c>
      <x:c r="J59" s="10"/>
      <x:c r="K59" s="10"/>
      <x:c r="L59" s="10"/>
      <x:c r="M59" s="10"/>
      <x:c r="N59" s="10"/>
      <x:c r="O59" s="7" t="n">
        <x:f t="shared" si="1">SUM(E59:N59)</x:f>
        <x:v>1</x:v>
      </x:c>
      <x:c r="P59" s="7" t="n">
        <x:v>2</x:v>
      </x:c>
      <x:c r="Q59" s="12" t="n">
        <x:f t="shared" si="2">O59-P59</x:f>
        <x:v>-1</x:v>
      </x:c>
      <x:c r="R59" s="13"/>
      <x:c r="S59" s="12"/>
      <x:c r="T59" s="13"/>
      <x:c r="U59" s="13"/>
    </x:row>
    <x:row r="60">
      <x:c r="A60" s="5" t="n">
        <x:v>68898</x:v>
      </x:c>
      <x:c r="B60" s="5" t="n">
        <x:v>1</x:v>
      </x:c>
      <x:c r="C60" s="5" t="n">
        <x:v>2</x:v>
      </x:c>
      <x:c r="D60" s="6" t="str">
        <x:v>CLIMATIZADOR BRITANIA FRIO BCL05FI 4L 80W</x:v>
      </x:c>
      <x:c r="E60" s="10"/>
      <x:c r="F60" s="10"/>
      <x:c r="G60" s="10"/>
      <x:c r="H60" s="10"/>
      <x:c r="I60" s="5"/>
      <x:c r="J60" s="10"/>
      <x:c r="K60" s="10"/>
      <x:c r="L60" s="10"/>
      <x:c r="M60" s="10"/>
      <x:c r="N60" s="10"/>
      <x:c r="O60" s="7" t="n">
        <x:f t="shared" si="1">SUM(E60:N60)</x:f>
        <x:v>0</x:v>
      </x:c>
      <x:c r="P60" s="7" t="n">
        <x:v>7</x:v>
      </x:c>
      <x:c r="Q60" s="12" t="n">
        <x:f t="shared" si="2">O60-P60</x:f>
        <x:v>-7</x:v>
      </x:c>
      <x:c r="R60" s="13"/>
      <x:c r="S60" s="12"/>
      <x:c r="T60" s="13"/>
      <x:c r="U60" s="13"/>
    </x:row>
    <x:row r="61">
      <x:c r="A61" s="5" t="n">
        <x:v>68955</x:v>
      </x:c>
      <x:c r="B61" s="5" t="n">
        <x:v>3</x:v>
      </x:c>
      <x:c r="C61" s="5" t="n">
        <x:v>2</x:v>
      </x:c>
      <x:c r="D61" s="6" t="str">
        <x:v>PANELA ELETRICA ARROZ MONDIAL 5L PE-44 10X</x:v>
      </x:c>
      <x:c r="E61" s="10"/>
      <x:c r="F61" s="10"/>
      <x:c r="G61" s="10"/>
      <x:c r="H61" s="5"/>
      <x:c r="I61" s="5"/>
      <x:c r="J61" s="10"/>
      <x:c r="K61" s="10"/>
      <x:c r="L61" s="10"/>
      <x:c r="M61" s="10"/>
      <x:c r="N61" s="10"/>
      <x:c r="O61" s="7" t="n">
        <x:f t="shared" si="1">SUM(E61:N61)</x:f>
        <x:v>0</x:v>
      </x:c>
      <x:c r="P61" s="7" t="n">
        <x:v>215</x:v>
      </x:c>
      <x:c r="Q61" s="12" t="n">
        <x:f t="shared" si="2">O61-P61</x:f>
        <x:v>-215</x:v>
      </x:c>
      <x:c r="R61" s="13"/>
      <x:c r="S61" s="12"/>
      <x:c r="T61" s="13"/>
      <x:c r="U61" s="13"/>
    </x:row>
    <x:row r="62">
      <x:c r="A62" s="5" t="n">
        <x:v>68955</x:v>
      </x:c>
      <x:c r="B62" s="5" t="n">
        <x:v>3</x:v>
      </x:c>
      <x:c r="C62" s="5" t="n">
        <x:v>3</x:v>
      </x:c>
      <x:c r="D62" s="6" t="str">
        <x:v>PANELA ELETRICA ARROZ MONDIAL 5L PE-44 10X</x:v>
      </x:c>
      <x:c r="E62" s="10"/>
      <x:c r="F62" s="10"/>
      <x:c r="G62" s="10"/>
      <x:c r="H62" s="10"/>
      <x:c r="I62" s="5"/>
      <x:c r="J62" s="10"/>
      <x:c r="K62" s="10"/>
      <x:c r="L62" s="10"/>
      <x:c r="M62" s="10"/>
      <x:c r="N62" s="10"/>
      <x:c r="O62" s="7" t="n">
        <x:f t="shared" si="1">SUM(E62:N62)</x:f>
        <x:v>0</x:v>
      </x:c>
      <x:c r="P62" s="7" t="n">
        <x:v>107</x:v>
      </x:c>
      <x:c r="Q62" s="12" t="n">
        <x:f t="shared" si="2">O62-P62</x:f>
        <x:v>-107</x:v>
      </x:c>
      <x:c r="R62" s="13"/>
      <x:c r="S62" s="12"/>
      <x:c r="T62" s="13"/>
      <x:c r="U62" s="13"/>
    </x:row>
    <x:row r="63">
      <x:c r="A63" s="5" t="n">
        <x:v>72114</x:v>
      </x:c>
      <x:c r="B63" s="5" t="n">
        <x:v>3</x:v>
      </x:c>
      <x:c r="C63" s="5" t="n">
        <x:v>2</x:v>
      </x:c>
      <x:c r="D63" s="6" t="str">
        <x:v>VENTILADOR COLUNA MONDIAL 30CM VT-30C-NB 50W</x:v>
      </x:c>
      <x:c r="E63" s="24"/>
      <x:c r="F63" s="24"/>
      <x:c r="G63" s="24"/>
      <x:c r="H63" s="24"/>
      <x:c r="I63" s="25"/>
      <x:c r="J63" s="24"/>
      <x:c r="K63" s="24"/>
      <x:c r="L63" s="24"/>
      <x:c r="M63" s="24"/>
      <x:c r="N63" s="24"/>
      <x:c r="O63" s="26" t="n">
        <x:f t="shared" si="1">SUM(E63:N63)</x:f>
        <x:v>0</x:v>
      </x:c>
      <x:c r="P63" s="26" t="n">
        <x:v>229</x:v>
      </x:c>
      <x:c r="Q63" s="27" t="n">
        <x:f t="shared" si="2">O63-P63</x:f>
        <x:v>-229</x:v>
      </x:c>
      <x:c r="R63" s="13"/>
      <x:c r="S63" s="12"/>
      <x:c r="T63" s="13"/>
      <x:c r="U63" s="13"/>
    </x:row>
    <x:row r="64">
      <x:c r="A64" s="5" t="n">
        <x:v>72359</x:v>
      </x:c>
      <x:c r="B64" s="5" t="n">
        <x:v>3</x:v>
      </x:c>
      <x:c r="C64" s="5" t="n">
        <x:v>4</x:v>
      </x:c>
      <x:c r="D64" s="6" t="str">
        <x:v>CAIXA DE SOM AIWA MINI SPEAKER AWSSP01</x:v>
      </x:c>
      <x:c r="E64" s="10"/>
      <x:c r="F64" s="10"/>
      <x:c r="G64" s="10"/>
      <x:c r="H64" s="10"/>
      <x:c r="I64" s="5"/>
      <x:c r="J64" s="10"/>
      <x:c r="K64" s="10"/>
      <x:c r="L64" s="10"/>
      <x:c r="M64" s="10"/>
      <x:c r="N64" s="10"/>
      <x:c r="O64" s="7" t="n">
        <x:f t="shared" si="1">SUM(E64:N64)</x:f>
        <x:v>0</x:v>
      </x:c>
      <x:c r="P64" s="7" t="n">
        <x:v>146</x:v>
      </x:c>
      <x:c r="Q64" s="12" t="n">
        <x:f t="shared" si="2">O64-P64</x:f>
        <x:v>-146</x:v>
      </x:c>
      <x:c r="R64" s="13"/>
      <x:c r="S64" s="12"/>
      <x:c r="T64" s="13"/>
      <x:c r="U64" s="13"/>
    </x:row>
    <x:row r="65">
      <x:c r="A65" s="5" t="n">
        <x:v>72624</x:v>
      </x:c>
      <x:c r="B65" s="5" t="n">
        <x:v>605</x:v>
      </x:c>
      <x:c r="C65" s="5" t="n">
        <x:v>3</x:v>
      </x:c>
      <x:c r="D65" s="6" t="str">
        <x:v>CAFETEIRA MONDIAL C-30 18X</x:v>
      </x:c>
      <x:c r="E65" s="10"/>
      <x:c r="F65" s="10"/>
      <x:c r="G65" s="10"/>
      <x:c r="H65" s="10"/>
      <x:c r="I65" s="5"/>
      <x:c r="J65" s="10"/>
      <x:c r="K65" s="10"/>
      <x:c r="L65" s="5" t="n">
        <x:v>1</x:v>
      </x:c>
      <x:c r="M65" s="5"/>
      <x:c r="N65" s="5"/>
      <x:c r="O65" s="7" t="n">
        <x:f t="shared" si="1">SUM(E65:N65)</x:f>
        <x:v>1</x:v>
      </x:c>
      <x:c r="P65" s="7" t="n">
        <x:v>4</x:v>
      </x:c>
      <x:c r="Q65" s="12" t="n">
        <x:f t="shared" si="2">O65-P65</x:f>
        <x:v>-3</x:v>
      </x:c>
      <x:c r="R65" s="13"/>
      <x:c r="S65" s="12"/>
      <x:c r="T65" s="13"/>
      <x:c r="U65" s="13"/>
    </x:row>
    <x:row r="66">
      <x:c r="A66" s="5" t="n">
        <x:v>72627</x:v>
      </x:c>
      <x:c r="B66" s="5" t="n">
        <x:v>2489</x:v>
      </x:c>
      <x:c r="C66" s="5" t="n">
        <x:v>4</x:v>
      </x:c>
      <x:c r="D66" s="6" t="str">
        <x:v>ESCOVA SECADORA MONDIAL ES-50</x:v>
      </x:c>
      <x:c r="E66" s="10"/>
      <x:c r="F66" s="10"/>
      <x:c r="G66" s="10"/>
      <x:c r="H66" s="10"/>
      <x:c r="I66" s="5"/>
      <x:c r="J66" s="10"/>
      <x:c r="K66" s="10"/>
      <x:c r="L66" s="10"/>
      <x:c r="M66" s="10"/>
      <x:c r="N66" s="10"/>
      <x:c r="O66" s="7" t="n">
        <x:f t="shared" si="1">SUM(E66:N66)</x:f>
        <x:v>0</x:v>
      </x:c>
      <x:c r="P66" s="7" t="n">
        <x:v>3</x:v>
      </x:c>
      <x:c r="Q66" s="12" t="n">
        <x:f t="shared" si="2">O66-P66</x:f>
        <x:v>-3</x:v>
      </x:c>
      <x:c r="R66" s="13"/>
      <x:c r="S66" s="12"/>
      <x:c r="T66" s="13"/>
      <x:c r="U66" s="13"/>
    </x:row>
    <x:row r="67">
      <x:c r="A67" s="5" t="n">
        <x:v>72628</x:v>
      </x:c>
      <x:c r="B67" s="5" t="n">
        <x:v>9</x:v>
      </x:c>
      <x:c r="C67" s="5" t="n">
        <x:v>3</x:v>
      </x:c>
      <x:c r="D67" s="6" t="str">
        <x:v>ESCOVA ROTATIVA MONDIAL ER-11-KR</x:v>
      </x:c>
      <x:c r="E67" s="10"/>
      <x:c r="F67" s="10"/>
      <x:c r="G67" s="10"/>
      <x:c r="H67" s="10"/>
      <x:c r="I67" s="5"/>
      <x:c r="J67" s="10"/>
      <x:c r="K67" s="10"/>
      <x:c r="L67" s="10"/>
      <x:c r="M67" s="10"/>
      <x:c r="N67" s="10"/>
      <x:c r="O67" s="7" t="n">
        <x:f t="shared" si="1">SUM(E67:N67)</x:f>
        <x:v>0</x:v>
      </x:c>
      <x:c r="P67" s="7" t="n">
        <x:v>8</x:v>
      </x:c>
      <x:c r="Q67" s="12" t="n">
        <x:f t="shared" si="2">O67-P67</x:f>
        <x:v>-8</x:v>
      </x:c>
      <x:c r="R67" s="13"/>
      <x:c r="S67" s="12"/>
      <x:c r="T67" s="13"/>
      <x:c r="U67" s="13"/>
    </x:row>
    <x:row r="68">
      <x:c r="A68" s="5" t="n">
        <x:v>72634</x:v>
      </x:c>
      <x:c r="B68" s="5" t="n">
        <x:v>3</x:v>
      </x:c>
      <x:c r="C68" s="5" t="n">
        <x:v>2</x:v>
      </x:c>
      <x:c r="D68" s="6" t="str">
        <x:v>SANDUICHEIRA ULTRA S-13</x:v>
      </x:c>
      <x:c r="E68" s="10"/>
      <x:c r="F68" s="10"/>
      <x:c r="G68" s="10"/>
      <x:c r="H68" s="10"/>
      <x:c r="I68" s="5"/>
      <x:c r="J68" s="10"/>
      <x:c r="K68" s="10"/>
      <x:c r="L68" s="10"/>
      <x:c r="M68" s="10"/>
      <x:c r="N68" s="10"/>
      <x:c r="O68" s="7" t="n">
        <x:f t="shared" si="1">SUM(E68:N68)</x:f>
        <x:v>0</x:v>
      </x:c>
      <x:c r="P68" s="7" t="n">
        <x:v>1</x:v>
      </x:c>
      <x:c r="Q68" s="12" t="n">
        <x:f t="shared" si="2">O68-P68</x:f>
        <x:v>-1</x:v>
      </x:c>
      <x:c r="R68" s="13"/>
      <x:c r="S68" s="7"/>
      <x:c r="T68" s="13"/>
      <x:c r="U68" s="13"/>
    </x:row>
    <x:row r="69">
      <x:c r="A69" s="5" t="n">
        <x:v>72636</x:v>
      </x:c>
      <x:c r="B69" s="5" t="n">
        <x:v>3</x:v>
      </x:c>
      <x:c r="C69" s="5" t="n">
        <x:v>3</x:v>
      </x:c>
      <x:c r="D69" s="6" t="str">
        <x:v>SECADOR MONDIAL BLACK PURPLE SCN-01 2000W</x:v>
      </x:c>
      <x:c r="E69" s="10"/>
      <x:c r="F69" s="10"/>
      <x:c r="G69" s="10"/>
      <x:c r="H69" s="10"/>
      <x:c r="I69" s="5"/>
      <x:c r="J69" s="10"/>
      <x:c r="K69" s="10"/>
      <x:c r="L69" s="10"/>
      <x:c r="M69" s="10"/>
      <x:c r="N69" s="10"/>
      <x:c r="O69" s="7" t="n">
        <x:f t="shared" si="1">SUM(E69:N69)</x:f>
        <x:v>0</x:v>
      </x:c>
      <x:c r="P69" s="7" t="n">
        <x:v>28</x:v>
      </x:c>
      <x:c r="Q69" s="12" t="n">
        <x:f t="shared" si="2">O69-P69</x:f>
        <x:v>-28</x:v>
      </x:c>
      <x:c r="R69" s="13"/>
      <x:c r="S69" s="12"/>
      <x:c r="T69" s="13"/>
      <x:c r="U69" s="13"/>
    </x:row>
    <x:row r="70">
      <x:c r="A70" s="5" t="n">
        <x:v>72933</x:v>
      </x:c>
      <x:c r="B70" s="5" t="n">
        <x:v>5</x:v>
      </x:c>
      <x:c r="C70" s="5" t="n">
        <x:v>4</x:v>
      </x:c>
      <x:c r="D70" s="6" t="str">
        <x:v>TV 32" PHILIPS SMART HD GOOGLE TV 32PHG6918/78</x:v>
      </x:c>
      <x:c r="E70" s="10"/>
      <x:c r="F70" s="10"/>
      <x:c r="G70" s="10"/>
      <x:c r="H70" s="10"/>
      <x:c r="I70" s="5"/>
      <x:c r="J70" s="10"/>
      <x:c r="K70" s="10"/>
      <x:c r="L70" s="5" t="n">
        <x:v>1</x:v>
      </x:c>
      <x:c r="M70" s="10"/>
      <x:c r="N70" s="10"/>
      <x:c r="O70" s="7" t="n">
        <x:f t="shared" si="1">SUM(E70:N70)</x:f>
        <x:v>1</x:v>
      </x:c>
      <x:c r="P70" s="7" t="n">
        <x:v>1</x:v>
      </x:c>
      <x:c r="Q70" s="12" t="n">
        <x:f t="shared" si="2">O70-P70</x:f>
        <x:v>0</x:v>
      </x:c>
      <x:c r="R70" s="13"/>
      <x:c r="S70" s="12"/>
      <x:c r="T70" s="13"/>
      <x:c r="U70" s="13"/>
    </x:row>
    <x:row r="71">
      <x:c r="A71" s="5" t="n">
        <x:v>72982</x:v>
      </x:c>
      <x:c r="B71" s="5" t="n">
        <x:v>1</x:v>
      </x:c>
      <x:c r="C71" s="5" t="n">
        <x:v>4</x:v>
      </x:c>
      <x:c r="D71" s="6" t="str">
        <x:v>FOGAO SUGGAR NEO GLASS 4 BCS MESA VIDRO</x:v>
      </x:c>
      <x:c r="E71" s="10"/>
      <x:c r="F71" s="10"/>
      <x:c r="G71" s="10"/>
      <x:c r="H71" s="10"/>
      <x:c r="I71" s="5"/>
      <x:c r="J71" s="10"/>
      <x:c r="K71" s="10"/>
      <x:c r="L71" s="5"/>
      <x:c r="M71" s="5"/>
      <x:c r="N71" s="5"/>
      <x:c r="O71" s="7" t="n">
        <x:f t="shared" si="1">SUM(E71:N71)</x:f>
        <x:v>0</x:v>
      </x:c>
      <x:c r="P71" s="7" t="n">
        <x:v>1</x:v>
      </x:c>
      <x:c r="Q71" s="12" t="n">
        <x:f t="shared" si="2">O71-P71</x:f>
        <x:v>-1</x:v>
      </x:c>
      <x:c r="R71" s="13"/>
      <x:c r="S71" s="12"/>
      <x:c r="T71" s="13"/>
      <x:c r="U71" s="13"/>
    </x:row>
    <x:row r="72">
      <x:c r="A72" s="5" t="n">
        <x:v>72989</x:v>
      </x:c>
      <x:c r="B72" s="5" t="n">
        <x:v>1</x:v>
      </x:c>
      <x:c r="C72" s="5" t="n">
        <x:v>2</x:v>
      </x:c>
      <x:c r="D72" s="6" t="str">
        <x:v>LAVADORA SUGGAR LAVAMAX LX10 10KG</x:v>
      </x:c>
      <x:c r="E72" s="10"/>
      <x:c r="F72" s="10"/>
      <x:c r="G72" s="10"/>
      <x:c r="H72" s="10"/>
      <x:c r="I72" s="5"/>
      <x:c r="J72" s="10"/>
      <x:c r="K72" s="10"/>
      <x:c r="L72" s="5" t="n">
        <x:v>1</x:v>
      </x:c>
      <x:c r="M72" s="5"/>
      <x:c r="N72" s="5"/>
      <x:c r="O72" s="7" t="n">
        <x:f t="shared" si="1">SUM(E72:N72)</x:f>
        <x:v>1</x:v>
      </x:c>
      <x:c r="P72" s="7" t="n">
        <x:v>191</x:v>
      </x:c>
      <x:c r="Q72" s="12" t="n">
        <x:f t="shared" si="2">O72-P72</x:f>
        <x:v>-190</x:v>
      </x:c>
      <x:c r="R72" s="13"/>
      <x:c r="S72" s="12"/>
      <x:c r="T72" s="13"/>
      <x:c r="U72" s="13"/>
    </x:row>
    <x:row r="73">
      <x:c r="A73" s="5" t="n">
        <x:v>72989</x:v>
      </x:c>
      <x:c r="B73" s="5" t="n">
        <x:v>1</x:v>
      </x:c>
      <x:c r="C73" s="5" t="n">
        <x:v>3</x:v>
      </x:c>
      <x:c r="D73" s="6" t="str">
        <x:v>LAVADORA SUGGAR LAVAMAX LX10 10KG</x:v>
      </x:c>
      <x:c r="E73" s="24"/>
      <x:c r="F73" s="24"/>
      <x:c r="G73" s="24"/>
      <x:c r="H73" s="24"/>
      <x:c r="I73" s="25"/>
      <x:c r="J73" s="24"/>
      <x:c r="K73" s="24"/>
      <x:c r="L73" s="24"/>
      <x:c r="M73" s="24"/>
      <x:c r="N73" s="24"/>
      <x:c r="O73" s="26" t="n">
        <x:f t="shared" si="1">SUM(E73:N73)</x:f>
        <x:v>0</x:v>
      </x:c>
      <x:c r="P73" s="26" t="n">
        <x:v>67</x:v>
      </x:c>
      <x:c r="Q73" s="27" t="n">
        <x:f t="shared" si="2">O73-P73</x:f>
        <x:v>-67</x:v>
      </x:c>
      <x:c r="R73" s="13"/>
      <x:c r="S73" s="7"/>
      <x:c r="T73" s="13"/>
      <x:c r="U73" s="13"/>
    </x:row>
    <x:row r="74">
      <x:c r="A74" s="5" t="n">
        <x:v>72989</x:v>
      </x:c>
      <x:c r="B74" s="5" t="n">
        <x:v>3</x:v>
      </x:c>
      <x:c r="C74" s="5" t="n">
        <x:v>2</x:v>
      </x:c>
      <x:c r="D74" s="6" t="str">
        <x:v>LAVADORA SUGGAR LAVAMAX LX10 10KG</x:v>
      </x:c>
      <x:c r="E74" s="10"/>
      <x:c r="F74" s="10"/>
      <x:c r="G74" s="10"/>
      <x:c r="H74" s="10"/>
      <x:c r="I74" s="5"/>
      <x:c r="J74" s="10"/>
      <x:c r="K74" s="10"/>
      <x:c r="L74" s="5" t="n">
        <x:v>1</x:v>
      </x:c>
      <x:c r="M74" s="10"/>
      <x:c r="N74" s="10"/>
      <x:c r="O74" s="7" t="n">
        <x:f t="shared" si="1">SUM(E74:N74)</x:f>
        <x:v>1</x:v>
      </x:c>
      <x:c r="P74" s="7" t="n">
        <x:v>202</x:v>
      </x:c>
      <x:c r="Q74" s="12" t="n">
        <x:f t="shared" si="2">O74-P74</x:f>
        <x:v>-201</x:v>
      </x:c>
      <x:c r="R74" s="13"/>
      <x:c r="S74" s="12"/>
      <x:c r="T74" s="13"/>
      <x:c r="U74" s="13"/>
    </x:row>
    <x:row r="75">
      <x:c r="A75" s="5" t="n">
        <x:v>72989</x:v>
      </x:c>
      <x:c r="B75" s="5" t="n">
        <x:v>3</x:v>
      </x:c>
      <x:c r="C75" s="5" t="n">
        <x:v>3</x:v>
      </x:c>
      <x:c r="D75" s="6" t="str">
        <x:v>LAVADORA SUGGAR LAVAMAX LX10 10KG</x:v>
      </x:c>
      <x:c r="E75" s="5"/>
      <x:c r="F75" s="5"/>
      <x:c r="G75" s="10"/>
      <x:c r="H75" s="10"/>
      <x:c r="I75" s="5"/>
      <x:c r="J75" s="10"/>
      <x:c r="K75" s="10"/>
      <x:c r="L75" s="5" t="n">
        <x:v>3</x:v>
      </x:c>
      <x:c r="M75" s="10"/>
      <x:c r="N75" s="5"/>
      <x:c r="O75" s="7" t="n">
        <x:f t="shared" si="1">SUM(E75:N75)</x:f>
        <x:v>3</x:v>
      </x:c>
      <x:c r="P75" s="7" t="n">
        <x:v>39</x:v>
      </x:c>
      <x:c r="Q75" s="12" t="n">
        <x:f t="shared" si="2">O75-P75</x:f>
        <x:v>-36</x:v>
      </x:c>
      <x:c r="R75" s="16"/>
      <x:c r="S75" s="7"/>
      <x:c r="T75" s="13"/>
      <x:c r="U75" s="13"/>
    </x:row>
    <x:row r="76">
      <x:c r="A76" s="5" t="n">
        <x:v>72990</x:v>
      </x:c>
      <x:c r="B76" s="5" t="n">
        <x:v>1</x:v>
      </x:c>
      <x:c r="C76" s="5" t="n">
        <x:v>2</x:v>
      </x:c>
      <x:c r="D76" s="6" t="str">
        <x:v>LAVADORA SUGGAR LAVAMATIC 16KG LC16</x:v>
      </x:c>
      <x:c r="E76" s="10"/>
      <x:c r="F76" s="10"/>
      <x:c r="G76" s="10"/>
      <x:c r="H76" s="10"/>
      <x:c r="I76" s="5"/>
      <x:c r="J76" s="10"/>
      <x:c r="K76" s="10"/>
      <x:c r="L76" s="5" t="n">
        <x:v>1</x:v>
      </x:c>
      <x:c r="M76" s="5"/>
      <x:c r="N76" s="5"/>
      <x:c r="O76" s="7" t="n">
        <x:f t="shared" si="1">SUM(E76:N76)</x:f>
        <x:v>1</x:v>
      </x:c>
      <x:c r="P76" s="7" t="n">
        <x:v>125</x:v>
      </x:c>
      <x:c r="Q76" s="12" t="n">
        <x:f t="shared" si="2">O76-P76</x:f>
        <x:v>-124</x:v>
      </x:c>
      <x:c r="R76" s="13"/>
      <x:c r="S76" s="12"/>
      <x:c r="T76" s="13"/>
      <x:c r="U76" s="13"/>
    </x:row>
    <x:row r="77">
      <x:c r="A77" s="5" t="n">
        <x:v>72990</x:v>
      </x:c>
      <x:c r="B77" s="5" t="n">
        <x:v>1</x:v>
      </x:c>
      <x:c r="C77" s="5" t="n">
        <x:v>3</x:v>
      </x:c>
      <x:c r="D77" s="6" t="str">
        <x:v>LAVADORA SUGGAR LAVAMATIC 16KG LC16</x:v>
      </x:c>
      <x:c r="E77" s="5"/>
      <x:c r="F77" s="5"/>
      <x:c r="G77" s="10"/>
      <x:c r="H77" s="10"/>
      <x:c r="I77" s="5"/>
      <x:c r="J77" s="10"/>
      <x:c r="K77" s="10"/>
      <x:c r="L77" s="10"/>
      <x:c r="M77" s="10"/>
      <x:c r="N77" s="5"/>
      <x:c r="O77" s="7" t="n">
        <x:f t="shared" si="1">SUM(E77:N77)</x:f>
        <x:v>0</x:v>
      </x:c>
      <x:c r="P77" s="7" t="n">
        <x:v>24</x:v>
      </x:c>
      <x:c r="Q77" s="12" t="n">
        <x:f t="shared" si="2">O77-P77</x:f>
        <x:v>-24</x:v>
      </x:c>
      <x:c r="R77" s="16"/>
      <x:c r="S77" s="12"/>
      <x:c r="T77" s="13"/>
      <x:c r="U77" s="13"/>
    </x:row>
    <x:row r="78">
      <x:c r="A78" s="5" t="n">
        <x:v>72990</x:v>
      </x:c>
      <x:c r="B78" s="5" t="n">
        <x:v>3</x:v>
      </x:c>
      <x:c r="C78" s="5" t="n">
        <x:v>2</x:v>
      </x:c>
      <x:c r="D78" s="6" t="str">
        <x:v>LAVADORA SUGGAR LAVAMATIC 16KG LC16</x:v>
      </x:c>
      <x:c r="E78" s="10"/>
      <x:c r="F78" s="10"/>
      <x:c r="G78" s="10"/>
      <x:c r="H78" s="5"/>
      <x:c r="I78" s="5"/>
      <x:c r="J78" s="10"/>
      <x:c r="K78" s="5"/>
      <x:c r="L78" s="10"/>
      <x:c r="M78" s="10"/>
      <x:c r="N78" s="10"/>
      <x:c r="O78" s="7" t="n">
        <x:f t="shared" si="1">SUM(E78:N78)</x:f>
        <x:v>0</x:v>
      </x:c>
      <x:c r="P78" s="7" t="n">
        <x:v>105</x:v>
      </x:c>
      <x:c r="Q78" s="12" t="n">
        <x:f t="shared" si="2">O78-P78</x:f>
        <x:v>-105</x:v>
      </x:c>
      <x:c r="R78" s="13"/>
      <x:c r="S78" s="12"/>
      <x:c r="T78" s="13"/>
      <x:c r="U78" s="13"/>
    </x:row>
    <x:row r="79">
      <x:c r="A79" s="5" t="n">
        <x:v>72990</x:v>
      </x:c>
      <x:c r="B79" s="5" t="n">
        <x:v>3</x:v>
      </x:c>
      <x:c r="C79" s="5" t="n">
        <x:v>3</x:v>
      </x:c>
      <x:c r="D79" s="6" t="str">
        <x:v>LAVADORA SUGGAR LAVAMATIC 16KG LC16</x:v>
      </x:c>
      <x:c r="E79" s="5"/>
      <x:c r="F79" s="5"/>
      <x:c r="G79" s="10"/>
      <x:c r="H79" s="5"/>
      <x:c r="I79" s="5"/>
      <x:c r="J79" s="10"/>
      <x:c r="K79" s="10"/>
      <x:c r="L79" s="5" t="n">
        <x:v>1</x:v>
      </x:c>
      <x:c r="M79" s="10"/>
      <x:c r="N79" s="5"/>
      <x:c r="O79" s="7" t="n">
        <x:f t="shared" si="1">SUM(E79:N79)</x:f>
        <x:v>1</x:v>
      </x:c>
      <x:c r="P79" s="7" t="n">
        <x:v>36</x:v>
      </x:c>
      <x:c r="Q79" s="12" t="n">
        <x:f t="shared" si="2">O79-P79</x:f>
        <x:v>-35</x:v>
      </x:c>
      <x:c r="R79" s="16"/>
      <x:c r="S79" s="12"/>
      <x:c r="T79" s="13"/>
      <x:c r="U79" s="13"/>
    </x:row>
    <x:row r="80">
      <x:c r="A80" s="5" t="n">
        <x:v>72991</x:v>
      </x:c>
      <x:c r="B80" s="5" t="n">
        <x:v>1</x:v>
      </x:c>
      <x:c r="C80" s="5" t="n">
        <x:v>0</x:v>
      </x:c>
      <x:c r="D80" s="6" t="str">
        <x:v>FOGAO ESMALTEC BALI 4 BCS</x:v>
      </x:c>
      <x:c r="E80" s="10"/>
      <x:c r="F80" s="10"/>
      <x:c r="G80" s="10"/>
      <x:c r="H80" s="10"/>
      <x:c r="I80" s="5"/>
      <x:c r="J80" s="10"/>
      <x:c r="K80" s="10"/>
      <x:c r="L80" s="10"/>
      <x:c r="M80" s="10"/>
      <x:c r="N80" s="10"/>
      <x:c r="O80" s="7" t="n">
        <x:f t="shared" si="1">SUM(E80:N80)</x:f>
        <x:v>0</x:v>
      </x:c>
      <x:c r="P80" s="7" t="n">
        <x:v>1</x:v>
      </x:c>
      <x:c r="Q80" s="12" t="n">
        <x:f t="shared" si="2">O80-P80</x:f>
        <x:v>-1</x:v>
      </x:c>
      <x:c r="R80" s="13"/>
      <x:c r="S80" s="12"/>
      <x:c r="T80" s="13"/>
      <x:c r="U80" s="13"/>
    </x:row>
    <x:row r="81">
      <x:c r="A81" s="5" t="n">
        <x:v>72995</x:v>
      </x:c>
      <x:c r="B81" s="5" t="n">
        <x:v>3</x:v>
      </x:c>
      <x:c r="C81" s="5" t="n">
        <x:v>4</x:v>
      </x:c>
      <x:c r="D81" s="6" t="str">
        <x:v>FOGAO ESMALTEC CARIBE GLASS 4 BCS</x:v>
      </x:c>
      <x:c r="E81" s="10"/>
      <x:c r="F81" s="10"/>
      <x:c r="G81" s="10"/>
      <x:c r="H81" s="10"/>
      <x:c r="I81" s="5"/>
      <x:c r="J81" s="10"/>
      <x:c r="K81" s="10"/>
      <x:c r="L81" s="5"/>
      <x:c r="M81" s="5"/>
      <x:c r="N81" s="5"/>
      <x:c r="O81" s="7" t="n">
        <x:f t="shared" si="1">SUM(E81:N81)</x:f>
        <x:v>0</x:v>
      </x:c>
      <x:c r="P81" s="7" t="n">
        <x:v>1</x:v>
      </x:c>
      <x:c r="Q81" s="12" t="n">
        <x:f t="shared" si="2">O81-P81</x:f>
        <x:v>-1</x:v>
      </x:c>
      <x:c r="R81" s="13"/>
      <x:c r="S81" s="12"/>
      <x:c r="T81" s="13"/>
      <x:c r="U81" s="13"/>
    </x:row>
    <x:row r="82">
      <x:c r="A82" s="34" t="n">
        <x:v>72997</x:v>
      </x:c>
      <x:c r="B82" s="34" t="n">
        <x:v>1</x:v>
      </x:c>
      <x:c r="C82" s="34" t="n">
        <x:v>2</x:v>
      </x:c>
      <x:c r="D82" s="19" t="str">
        <x:v>BEBEDOURO ESMALTEC MESA EGM30</x:v>
      </x:c>
      <x:c r="E82" s="35"/>
      <x:c r="F82" s="35"/>
      <x:c r="G82" s="35"/>
      <x:c r="H82" s="35"/>
      <x:c r="I82" s="34"/>
      <x:c r="J82" s="35"/>
      <x:c r="K82" s="35"/>
      <x:c r="L82" s="35"/>
      <x:c r="M82" s="35"/>
      <x:c r="N82" s="35"/>
      <x:c r="O82" s="7" t="n">
        <x:f t="shared" si="1">SUM(E82:N82)</x:f>
        <x:v>0</x:v>
      </x:c>
      <x:c r="P82" s="34" t="n">
        <x:v>384</x:v>
      </x:c>
      <x:c r="Q82" s="35" t="n">
        <x:f t="shared" si="2">O82-P82</x:f>
        <x:v>-384</x:v>
      </x:c>
      <x:c r="R82" s="19"/>
      <x:c r="S82" s="7"/>
      <x:c r="T82" s="16"/>
      <x:c r="U82" s="16"/>
    </x:row>
    <x:row r="83">
      <x:c r="A83" s="34" t="n">
        <x:v>72997</x:v>
      </x:c>
      <x:c r="B83" s="34" t="n">
        <x:v>1</x:v>
      </x:c>
      <x:c r="C83" s="34" t="n">
        <x:v>3</x:v>
      </x:c>
      <x:c r="D83" s="19" t="str">
        <x:v>BEBEDOURO ESMALTEC MESA EGM30</x:v>
      </x:c>
      <x:c r="E83" s="35"/>
      <x:c r="F83" s="35"/>
      <x:c r="G83" s="35"/>
      <x:c r="H83" s="35"/>
      <x:c r="I83" s="34"/>
      <x:c r="J83" s="35"/>
      <x:c r="K83" s="35"/>
      <x:c r="L83" s="35"/>
      <x:c r="M83" s="35"/>
      <x:c r="N83" s="35"/>
      <x:c r="O83" s="7" t="n">
        <x:f t="shared" si="1">SUM(E83:N83)</x:f>
        <x:v>0</x:v>
      </x:c>
      <x:c r="P83" s="34" t="n">
        <x:v>39</x:v>
      </x:c>
      <x:c r="Q83" s="35" t="n">
        <x:f t="shared" si="2">O83-P83</x:f>
        <x:v>-39</x:v>
      </x:c>
      <x:c r="R83" s="19"/>
      <x:c r="S83" s="7"/>
      <x:c r="T83" s="16"/>
      <x:c r="U83" s="16"/>
    </x:row>
    <x:row r="84">
      <x:c r="A84" s="5" t="n">
        <x:v>72998</x:v>
      </x:c>
      <x:c r="B84" s="5" t="n">
        <x:v>1</x:v>
      </x:c>
      <x:c r="C84" s="5" t="n">
        <x:v>2</x:v>
      </x:c>
      <x:c r="D84" s="6" t="str">
        <x:v>BEBEDOURO ESMALTEC COLUNA EGC35B</x:v>
      </x:c>
      <x:c r="E84" s="10"/>
      <x:c r="F84" s="10"/>
      <x:c r="G84" s="10"/>
      <x:c r="H84" s="10"/>
      <x:c r="I84" s="5"/>
      <x:c r="J84" s="5"/>
      <x:c r="K84" s="10"/>
      <x:c r="L84" s="10"/>
      <x:c r="M84" s="10"/>
      <x:c r="N84" s="10"/>
      <x:c r="O84" s="7" t="n">
        <x:f t="shared" si="1">SUM(E84:N84)</x:f>
        <x:v>0</x:v>
      </x:c>
      <x:c r="P84" s="7" t="n">
        <x:v>185</x:v>
      </x:c>
      <x:c r="Q84" s="12" t="n">
        <x:f t="shared" si="2">O84-P84</x:f>
        <x:v>-185</x:v>
      </x:c>
      <x:c r="R84" s="13"/>
      <x:c r="S84" s="7" t="n">
        <x:v>1</x:v>
      </x:c>
      <x:c r="T84" s="13"/>
      <x:c r="U84" s="13"/>
    </x:row>
    <x:row r="85">
      <x:c r="A85" s="5" t="n">
        <x:v>72998</x:v>
      </x:c>
      <x:c r="B85" s="5" t="n">
        <x:v>1</x:v>
      </x:c>
      <x:c r="C85" s="5" t="n">
        <x:v>3</x:v>
      </x:c>
      <x:c r="D85" s="6" t="str">
        <x:v>BEBEDOURO ESMALTEC COLUNA EGC35B</x:v>
      </x:c>
      <x:c r="E85" s="10"/>
      <x:c r="F85" s="10"/>
      <x:c r="G85" s="10"/>
      <x:c r="H85" s="10"/>
      <x:c r="I85" s="5"/>
      <x:c r="J85" s="10"/>
      <x:c r="K85" s="10"/>
      <x:c r="L85" s="10"/>
      <x:c r="M85" s="10"/>
      <x:c r="N85" s="10"/>
      <x:c r="O85" s="7" t="n">
        <x:f t="shared" si="1">SUM(E85:N85)</x:f>
        <x:v>0</x:v>
      </x:c>
      <x:c r="P85" s="7" t="n">
        <x:v>95</x:v>
      </x:c>
      <x:c r="Q85" s="12" t="n">
        <x:f t="shared" si="2">O85-P85</x:f>
        <x:v>-95</x:v>
      </x:c>
      <x:c r="R85" s="13"/>
      <x:c r="S85" s="12"/>
      <x:c r="T85" s="13"/>
      <x:c r="U85" s="13"/>
    </x:row>
    <x:row r="86">
      <x:c r="A86" s="5" t="n">
        <x:v>72999</x:v>
      </x:c>
      <x:c r="B86" s="5" t="n">
        <x:v>1</x:v>
      </x:c>
      <x:c r="C86" s="5" t="n">
        <x:v>2</x:v>
      </x:c>
      <x:c r="D86" s="6" t="str">
        <x:v>REFRIGERADOR ESMALTEC ROC31 PRO INVER 245L</x:v>
      </x:c>
      <x:c r="E86" s="10"/>
      <x:c r="F86" s="10"/>
      <x:c r="G86" s="10"/>
      <x:c r="H86" s="5"/>
      <x:c r="I86" s="5"/>
      <x:c r="J86" s="10"/>
      <x:c r="K86" s="10"/>
      <x:c r="L86" s="5" t="n">
        <x:v>3</x:v>
      </x:c>
      <x:c r="M86" s="5"/>
      <x:c r="N86" s="5"/>
      <x:c r="O86" s="7" t="n">
        <x:f t="shared" si="1">SUM(E86:N86)</x:f>
        <x:v>3</x:v>
      </x:c>
      <x:c r="P86" s="7" t="n">
        <x:v>69</x:v>
      </x:c>
      <x:c r="Q86" s="12" t="n">
        <x:f t="shared" si="2">O86-P86</x:f>
        <x:v>-66</x:v>
      </x:c>
      <x:c r="R86" s="16"/>
      <x:c r="S86" s="7"/>
      <x:c r="T86" s="16"/>
      <x:c r="U86" s="16"/>
    </x:row>
    <x:row r="87">
      <x:c r="A87" s="5" t="n">
        <x:v>72999</x:v>
      </x:c>
      <x:c r="B87" s="5" t="n">
        <x:v>1</x:v>
      </x:c>
      <x:c r="C87" s="5" t="n">
        <x:v>3</x:v>
      </x:c>
      <x:c r="D87" s="6" t="str">
        <x:v>REFRIGERADOR ESMALTEC ROC31 PRO INVER 245L</x:v>
      </x:c>
      <x:c r="E87" s="10"/>
      <x:c r="F87" s="10"/>
      <x:c r="G87" s="10"/>
      <x:c r="H87" s="10"/>
      <x:c r="I87" s="5"/>
      <x:c r="J87" s="10"/>
      <x:c r="K87" s="5"/>
      <x:c r="L87" s="5" t="n">
        <x:v>7</x:v>
      </x:c>
      <x:c r="M87" s="5"/>
      <x:c r="N87" s="5"/>
      <x:c r="O87" s="7" t="n">
        <x:f t="shared" si="1">SUM(E87:N87)</x:f>
        <x:v>7</x:v>
      </x:c>
      <x:c r="P87" s="7" t="n">
        <x:v>6</x:v>
      </x:c>
      <x:c r="Q87" s="12" t="n">
        <x:f t="shared" si="2">O87-P87</x:f>
        <x:v>1</x:v>
      </x:c>
      <x:c r="R87" s="13"/>
      <x:c r="S87" s="12"/>
      <x:c r="T87" s="13"/>
      <x:c r="U87" s="13"/>
    </x:row>
    <x:row r="88">
      <x:c r="A88" s="5" t="n">
        <x:v>73001</x:v>
      </x:c>
      <x:c r="B88" s="5" t="n">
        <x:v>1</x:v>
      </x:c>
      <x:c r="C88" s="5" t="n">
        <x:v>2</x:v>
      </x:c>
      <x:c r="D88" s="6" t="str">
        <x:v>REFRIGERADOR ESMALTEC 276L RCD34</x:v>
      </x:c>
      <x:c r="E88" s="10"/>
      <x:c r="F88" s="10"/>
      <x:c r="G88" s="10"/>
      <x:c r="H88" s="10"/>
      <x:c r="I88" s="5"/>
      <x:c r="J88" s="10"/>
      <x:c r="K88" s="10"/>
      <x:c r="L88" s="5" t="n">
        <x:v>1</x:v>
      </x:c>
      <x:c r="M88" s="5"/>
      <x:c r="N88" s="5"/>
      <x:c r="O88" s="7" t="n">
        <x:f t="shared" si="1">SUM(E88:N88)</x:f>
        <x:v>1</x:v>
      </x:c>
      <x:c r="P88" s="7" t="n">
        <x:v>1</x:v>
      </x:c>
      <x:c r="Q88" s="12" t="n">
        <x:f t="shared" si="2">O88-P88</x:f>
        <x:v>0</x:v>
      </x:c>
      <x:c r="R88" s="13"/>
      <x:c r="S88" s="12"/>
      <x:c r="T88" s="13"/>
      <x:c r="U88" s="13"/>
    </x:row>
    <x:row r="89">
      <x:c r="A89" s="5" t="n">
        <x:v>73002</x:v>
      </x:c>
      <x:c r="B89" s="5" t="n">
        <x:v>1</x:v>
      </x:c>
      <x:c r="C89" s="5" t="n">
        <x:v>2</x:v>
      </x:c>
      <x:c r="D89" s="6" t="str">
        <x:v>CONSERVADOR ESMALTEC HORIZ ECH250 214L</x:v>
      </x:c>
      <x:c r="E89" s="10"/>
      <x:c r="F89" s="10"/>
      <x:c r="G89" s="10"/>
      <x:c r="H89" s="10"/>
      <x:c r="I89" s="5"/>
      <x:c r="J89" s="10"/>
      <x:c r="K89" s="5"/>
      <x:c r="L89" s="5" t="n">
        <x:v>2</x:v>
      </x:c>
      <x:c r="M89" s="5"/>
      <x:c r="N89" s="5"/>
      <x:c r="O89" s="7" t="n">
        <x:f t="shared" si="1">SUM(E89:N89)</x:f>
        <x:v>2</x:v>
      </x:c>
      <x:c r="P89" s="7" t="n">
        <x:v>129</x:v>
      </x:c>
      <x:c r="Q89" s="12" t="n">
        <x:f t="shared" si="2">O89-P89</x:f>
        <x:v>-127</x:v>
      </x:c>
      <x:c r="R89" s="13"/>
      <x:c r="S89" s="12"/>
      <x:c r="T89" s="13"/>
      <x:c r="U89" s="13"/>
    </x:row>
    <x:row r="90">
      <x:c r="A90" s="5" t="n">
        <x:v>73002</x:v>
      </x:c>
      <x:c r="B90" s="5" t="n">
        <x:v>1</x:v>
      </x:c>
      <x:c r="C90" s="5" t="n">
        <x:v>3</x:v>
      </x:c>
      <x:c r="D90" s="6" t="str">
        <x:v>CONSERVADOR ESMALTEC HORIZ ECH250 214L</x:v>
      </x:c>
      <x:c r="E90" s="5"/>
      <x:c r="F90" s="10"/>
      <x:c r="G90" s="10"/>
      <x:c r="H90" s="10"/>
      <x:c r="I90" s="5"/>
      <x:c r="J90" s="10"/>
      <x:c r="K90" s="10"/>
      <x:c r="L90" s="5" t="n">
        <x:v>7</x:v>
      </x:c>
      <x:c r="M90" s="10"/>
      <x:c r="N90" s="10"/>
      <x:c r="O90" s="7" t="n">
        <x:f t="shared" si="1">SUM(E90:N90)</x:f>
        <x:v>7</x:v>
      </x:c>
      <x:c r="P90" s="7" t="n">
        <x:v>59</x:v>
      </x:c>
      <x:c r="Q90" s="12" t="n">
        <x:f t="shared" si="2">O90-P90</x:f>
        <x:v>-52</x:v>
      </x:c>
      <x:c r="R90" s="16"/>
      <x:c r="S90" s="7" t="n">
        <x:v>8</x:v>
      </x:c>
      <x:c r="T90" s="13"/>
      <x:c r="U90" s="13"/>
    </x:row>
    <x:row r="91">
      <x:c r="A91" s="5" t="n">
        <x:v>73003</x:v>
      </x:c>
      <x:c r="B91" s="5" t="n">
        <x:v>1</x:v>
      </x:c>
      <x:c r="C91" s="5" t="n">
        <x:v>2</x:v>
      </x:c>
      <x:c r="D91" s="6" t="str">
        <x:v>CONSERVADOR ESMALTEC HORIZ ECH350 325L</x:v>
      </x:c>
      <x:c r="E91" s="25"/>
      <x:c r="F91" s="24"/>
      <x:c r="G91" s="24"/>
      <x:c r="H91" s="25"/>
      <x:c r="I91" s="25"/>
      <x:c r="J91" s="24"/>
      <x:c r="K91" s="24"/>
      <x:c r="L91" s="25" t="n">
        <x:v>1</x:v>
      </x:c>
      <x:c r="M91" s="24"/>
      <x:c r="N91" s="25"/>
      <x:c r="O91" s="26" t="n">
        <x:f t="shared" si="1">SUM(E91:N91)</x:f>
        <x:v>1</x:v>
      </x:c>
      <x:c r="P91" s="26" t="n">
        <x:v>76</x:v>
      </x:c>
      <x:c r="Q91" s="27" t="n">
        <x:f t="shared" si="2">O91-P91</x:f>
        <x:v>-75</x:v>
      </x:c>
      <x:c r="R91" s="16"/>
      <x:c r="S91" s="12"/>
      <x:c r="T91" s="13"/>
      <x:c r="U91" s="13"/>
    </x:row>
    <x:row r="92">
      <x:c r="A92" s="5" t="n">
        <x:v>73003</x:v>
      </x:c>
      <x:c r="B92" s="5" t="n">
        <x:v>1</x:v>
      </x:c>
      <x:c r="C92" s="5" t="n">
        <x:v>3</x:v>
      </x:c>
      <x:c r="D92" s="6" t="str">
        <x:v>CONSERVADOR ESMALTEC HORIZ ECH350 325L</x:v>
      </x:c>
      <x:c r="E92" s="24"/>
      <x:c r="F92" s="24"/>
      <x:c r="G92" s="24"/>
      <x:c r="H92" s="25"/>
      <x:c r="I92" s="25"/>
      <x:c r="J92" s="24"/>
      <x:c r="K92" s="24"/>
      <x:c r="L92" s="25" t="n">
        <x:v>6</x:v>
      </x:c>
      <x:c r="M92" s="24"/>
      <x:c r="N92" s="24"/>
      <x:c r="O92" s="26" t="n">
        <x:f t="shared" si="1">SUM(E92:N92)</x:f>
        <x:v>6</x:v>
      </x:c>
      <x:c r="P92" s="26" t="n">
        <x:v>33</x:v>
      </x:c>
      <x:c r="Q92" s="27" t="n">
        <x:f t="shared" si="2">O92-P92</x:f>
        <x:v>-27</x:v>
      </x:c>
      <x:c r="R92" s="16"/>
      <x:c r="S92" s="12"/>
      <x:c r="T92" s="13"/>
      <x:c r="U92" s="13"/>
    </x:row>
    <x:row r="93">
      <x:c r="A93" s="5" t="n">
        <x:v>73004</x:v>
      </x:c>
      <x:c r="B93" s="5" t="n">
        <x:v>1</x:v>
      </x:c>
      <x:c r="C93" s="5" t="n">
        <x:v>2</x:v>
      </x:c>
      <x:c r="D93" s="6" t="str">
        <x:v>CONSERVADOR ESMALTEC HORIZ ECH500 468L</x:v>
      </x:c>
      <x:c r="E93" s="10"/>
      <x:c r="F93" s="10"/>
      <x:c r="G93" s="10"/>
      <x:c r="H93" s="5"/>
      <x:c r="I93" s="5"/>
      <x:c r="J93" s="5"/>
      <x:c r="K93" s="10"/>
      <x:c r="L93" s="5" t="n">
        <x:v>6</x:v>
      </x:c>
      <x:c r="M93" s="5"/>
      <x:c r="N93" s="5"/>
      <x:c r="O93" s="7" t="n">
        <x:f t="shared" si="1">SUM(E93:N93)</x:f>
        <x:v>6</x:v>
      </x:c>
      <x:c r="P93" s="7" t="n">
        <x:v>213</x:v>
      </x:c>
      <x:c r="Q93" s="12" t="n">
        <x:f t="shared" si="2">O93-P93</x:f>
        <x:v>-207</x:v>
      </x:c>
      <x:c r="R93" s="16"/>
      <x:c r="S93" s="7"/>
      <x:c r="T93" s="16"/>
      <x:c r="U93" s="16"/>
    </x:row>
    <x:row r="94">
      <x:c r="A94" s="5" t="n">
        <x:v>73004</x:v>
      </x:c>
      <x:c r="B94" s="5" t="n">
        <x:v>1</x:v>
      </x:c>
      <x:c r="C94" s="5" t="n">
        <x:v>3</x:v>
      </x:c>
      <x:c r="D94" s="6" t="str">
        <x:v>CONSERVADOR ESMALTEC HORIZ ECH500 468L</x:v>
      </x:c>
      <x:c r="E94" s="25"/>
      <x:c r="F94" s="25"/>
      <x:c r="G94" s="24"/>
      <x:c r="H94" s="24"/>
      <x:c r="I94" s="25"/>
      <x:c r="J94" s="24"/>
      <x:c r="K94" s="24"/>
      <x:c r="L94" s="25" t="n">
        <x:v>6</x:v>
      </x:c>
      <x:c r="M94" s="25"/>
      <x:c r="N94" s="25"/>
      <x:c r="O94" s="26" t="n">
        <x:f t="shared" si="1">SUM(E94:N94)</x:f>
        <x:v>6</x:v>
      </x:c>
      <x:c r="P94" s="26" t="n">
        <x:v>25</x:v>
      </x:c>
      <x:c r="Q94" s="27" t="n">
        <x:f t="shared" si="2">O94-P94</x:f>
        <x:v>-19</x:v>
      </x:c>
      <x:c r="R94" s="16"/>
      <x:c r="S94" s="7"/>
      <x:c r="T94" s="16"/>
      <x:c r="U94" s="16"/>
    </x:row>
    <x:row r="95">
      <x:c r="A95" s="5" t="n">
        <x:v>73008</x:v>
      </x:c>
      <x:c r="B95" s="5" t="n">
        <x:v>3</x:v>
      </x:c>
      <x:c r="C95" s="5" t="n">
        <x:v>2</x:v>
      </x:c>
      <x:c r="D95" s="6" t="str">
        <x:v>FRITADEIRA MONDIAL AIR FRYER 4L AFN40-BFS</x:v>
      </x:c>
      <x:c r="E95" s="10"/>
      <x:c r="F95" s="10"/>
      <x:c r="G95" s="10"/>
      <x:c r="H95" s="10"/>
      <x:c r="I95" s="5"/>
      <x:c r="J95" s="10"/>
      <x:c r="K95" s="10"/>
      <x:c r="L95" s="10"/>
      <x:c r="M95" s="10"/>
      <x:c r="N95" s="10"/>
      <x:c r="O95" s="7" t="n">
        <x:f t="shared" si="1">SUM(E95:N95)</x:f>
        <x:v>0</x:v>
      </x:c>
      <x:c r="P95" s="7" t="n">
        <x:v>72</x:v>
      </x:c>
      <x:c r="Q95" s="12" t="n">
        <x:f t="shared" si="2">O95-P95</x:f>
        <x:v>-72</x:v>
      </x:c>
      <x:c r="R95" s="13"/>
      <x:c r="S95" s="12"/>
      <x:c r="T95" s="13"/>
      <x:c r="U95" s="13"/>
    </x:row>
    <x:row r="96">
      <x:c r="A96" s="5" t="n">
        <x:v>73008</x:v>
      </x:c>
      <x:c r="B96" s="5" t="n">
        <x:v>3</x:v>
      </x:c>
      <x:c r="C96" s="5" t="n">
        <x:v>3</x:v>
      </x:c>
      <x:c r="D96" s="6" t="str">
        <x:v>FRITADEIRA MONDIAL AIR FRYER 4L AFN40-BFS</x:v>
      </x:c>
      <x:c r="E96" s="10"/>
      <x:c r="F96" s="10"/>
      <x:c r="G96" s="10"/>
      <x:c r="H96" s="10"/>
      <x:c r="I96" s="5"/>
      <x:c r="J96" s="28"/>
      <x:c r="K96" s="28"/>
      <x:c r="L96" s="28"/>
      <x:c r="M96" s="28"/>
      <x:c r="N96" s="28"/>
      <x:c r="O96" s="7" t="n">
        <x:f t="shared" si="1">SUM(E96:N96)</x:f>
        <x:v>0</x:v>
      </x:c>
      <x:c r="P96" s="7" t="n">
        <x:v>189</x:v>
      </x:c>
      <x:c r="Q96" s="12" t="n">
        <x:f t="shared" si="2">O96-P96</x:f>
        <x:v>-189</x:v>
      </x:c>
      <x:c r="R96" s="13"/>
      <x:c r="S96" s="7" t="n">
        <x:v>2</x:v>
      </x:c>
      <x:c r="T96" s="13"/>
      <x:c r="U96" s="13"/>
    </x:row>
    <x:row r="97">
      <x:c r="A97" s="5" t="n">
        <x:v>73045</x:v>
      </x:c>
      <x:c r="B97" s="5" t="n">
        <x:v>242</x:v>
      </x:c>
      <x:c r="C97" s="5" t="n">
        <x:v>0</x:v>
      </x:c>
      <x:c r="D97" s="6" t="str">
        <x:v>BALCAO RORATO FLAT S/ TP 3PT 1GV 1,16</x:v>
      </x:c>
      <x:c r="E97" s="10"/>
      <x:c r="F97" s="10"/>
      <x:c r="G97" s="10"/>
      <x:c r="H97" s="10"/>
      <x:c r="I97" s="5"/>
      <x:c r="J97" s="28"/>
      <x:c r="K97" s="28"/>
      <x:c r="L97" s="28"/>
      <x:c r="M97" s="28"/>
      <x:c r="N97" s="28"/>
      <x:c r="O97" s="7" t="n">
        <x:f t="shared" si="1">SUM(E97:N97)</x:f>
        <x:v>0</x:v>
      </x:c>
      <x:c r="P97" s="7" t="n">
        <x:v>67</x:v>
      </x:c>
      <x:c r="Q97" s="12" t="n">
        <x:f t="shared" si="2">O97-P97</x:f>
        <x:v>-67</x:v>
      </x:c>
      <x:c r="R97" s="13"/>
      <x:c r="S97" s="12"/>
      <x:c r="T97" s="13"/>
      <x:c r="U97" s="13"/>
    </x:row>
    <x:row r="98">
      <x:c r="A98" s="5" t="n">
        <x:v>73189</x:v>
      </x:c>
      <x:c r="B98" s="5" t="n">
        <x:v>21</x:v>
      </x:c>
      <x:c r="C98" s="5" t="n">
        <x:v>2</x:v>
      </x:c>
      <x:c r="D98" s="6" t="str">
        <x:v>CLIMATIZADOR VENTISOL FRIO 16L CLIN16 130W</x:v>
      </x:c>
      <x:c r="E98" s="24"/>
      <x:c r="F98" s="24"/>
      <x:c r="G98" s="24"/>
      <x:c r="H98" s="24"/>
      <x:c r="I98" s="25"/>
      <x:c r="J98" s="24"/>
      <x:c r="K98" s="24"/>
      <x:c r="L98" s="24"/>
      <x:c r="M98" s="24"/>
      <x:c r="N98" s="24"/>
      <x:c r="O98" s="26" t="n">
        <x:f t="shared" si="1">SUM(E98:N98)</x:f>
        <x:v>0</x:v>
      </x:c>
      <x:c r="P98" s="26" t="n">
        <x:v>157</x:v>
      </x:c>
      <x:c r="Q98" s="27" t="n">
        <x:f t="shared" si="2">O98-P98</x:f>
        <x:v>-157</x:v>
      </x:c>
      <x:c r="R98" s="13"/>
      <x:c r="S98" s="7" t="n">
        <x:v>6</x:v>
      </x:c>
      <x:c r="T98" s="13"/>
      <x:c r="U98" s="13"/>
    </x:row>
    <x:row r="99">
      <x:c r="A99" s="5" t="n">
        <x:v>73189</x:v>
      </x:c>
      <x:c r="B99" s="5" t="n">
        <x:v>21</x:v>
      </x:c>
      <x:c r="C99" s="5" t="n">
        <x:v>3</x:v>
      </x:c>
      <x:c r="D99" s="6" t="str">
        <x:v>CLIMATIZADOR VENTISOL FRIO 16L CLIN16 130W</x:v>
      </x:c>
      <x:c r="E99" s="10"/>
      <x:c r="F99" s="10"/>
      <x:c r="G99" s="10"/>
      <x:c r="H99" s="10"/>
      <x:c r="I99" s="5"/>
      <x:c r="J99" s="10"/>
      <x:c r="K99" s="10"/>
      <x:c r="L99" s="10"/>
      <x:c r="M99" s="10"/>
      <x:c r="N99" s="10"/>
      <x:c r="O99" s="7" t="n">
        <x:f t="shared" si="1">SUM(E99:N99)</x:f>
        <x:v>0</x:v>
      </x:c>
      <x:c r="P99" s="7" t="n">
        <x:v>2</x:v>
      </x:c>
      <x:c r="Q99" s="12" t="n">
        <x:f t="shared" si="2">O99-P99</x:f>
        <x:v>-2</x:v>
      </x:c>
      <x:c r="R99" s="13"/>
      <x:c r="S99" s="12"/>
      <x:c r="T99" s="13"/>
      <x:c r="U99" s="13"/>
    </x:row>
    <x:row r="100">
      <x:c r="A100" s="5" t="n">
        <x:v>73192</x:v>
      </x:c>
      <x:c r="B100" s="5" t="n">
        <x:v>3</x:v>
      </x:c>
      <x:c r="C100" s="5" t="n">
        <x:v>4</x:v>
      </x:c>
      <x:c r="D100" s="6" t="str">
        <x:v>KIT RECEPTOR E ANTENA 60CM ELSYS SATMAX BANDA KU ETKI99</x:v>
      </x:c>
      <x:c r="E100" s="10"/>
      <x:c r="F100" s="10"/>
      <x:c r="G100" s="10"/>
      <x:c r="H100" s="10"/>
      <x:c r="I100" s="5"/>
      <x:c r="J100" s="10"/>
      <x:c r="K100" s="10"/>
      <x:c r="L100" s="10"/>
      <x:c r="M100" s="10"/>
      <x:c r="N100" s="10"/>
      <x:c r="O100" s="7" t="n">
        <x:f t="shared" si="1">SUM(E100:N100)</x:f>
        <x:v>0</x:v>
      </x:c>
      <x:c r="P100" s="7" t="n">
        <x:v>2</x:v>
      </x:c>
      <x:c r="Q100" s="12" t="n">
        <x:f t="shared" si="2">O100-P100</x:f>
        <x:v>-2</x:v>
      </x:c>
      <x:c r="R100" s="13"/>
      <x:c r="S100" s="12"/>
      <x:c r="T100" s="13"/>
      <x:c r="U100" s="13"/>
    </x:row>
    <x:row r="101">
      <x:c r="A101" s="5" t="n">
        <x:v>73199</x:v>
      </x:c>
      <x:c r="B101" s="5" t="n">
        <x:v>21</x:v>
      </x:c>
      <x:c r="C101" s="5" t="n">
        <x:v>2</x:v>
      </x:c>
      <x:c r="D101" s="6" t="str">
        <x:v>CLIMATIZADOR VENTISOL FRIO 35L CLIN35PRO 150W</x:v>
      </x:c>
      <x:c r="E101" s="10"/>
      <x:c r="F101" s="10"/>
      <x:c r="G101" s="10"/>
      <x:c r="H101" s="10"/>
      <x:c r="I101" s="5"/>
      <x:c r="J101" s="10"/>
      <x:c r="K101" s="5"/>
      <x:c r="L101" s="10"/>
      <x:c r="M101" s="10"/>
      <x:c r="N101" s="10"/>
      <x:c r="O101" s="7" t="n">
        <x:f t="shared" si="1">SUM(E101:N101)</x:f>
        <x:v>0</x:v>
      </x:c>
      <x:c r="P101" s="7" t="n">
        <x:v>300</x:v>
      </x:c>
      <x:c r="Q101" s="12" t="n">
        <x:f t="shared" si="2">O101-P101</x:f>
        <x:v>-300</x:v>
      </x:c>
      <x:c r="R101" s="13"/>
      <x:c r="S101" s="12"/>
      <x:c r="T101" s="13"/>
      <x:c r="U101" s="13"/>
    </x:row>
    <x:row r="102">
      <x:c r="A102" s="5" t="n">
        <x:v>73229</x:v>
      </x:c>
      <x:c r="B102" s="5" t="n">
        <x:v>240</x:v>
      </x:c>
      <x:c r="C102" s="5" t="n">
        <x:v>2</x:v>
      </x:c>
      <x:c r="D102" s="6" t="str">
        <x:v>VENTILADOR MESA MONDIAL SUPER POWER 40CM VSP-40-W 140W</x:v>
      </x:c>
      <x:c r="E102" s="10"/>
      <x:c r="F102" s="10"/>
      <x:c r="G102" s="10"/>
      <x:c r="H102" s="10"/>
      <x:c r="I102" s="5"/>
      <x:c r="J102" s="10"/>
      <x:c r="K102" s="10"/>
      <x:c r="L102" s="5" t="n">
        <x:v>3</x:v>
      </x:c>
      <x:c r="M102" s="5"/>
      <x:c r="N102" s="5"/>
      <x:c r="O102" s="7" t="n">
        <x:f t="shared" si="1">SUM(E102:N102)</x:f>
        <x:v>3</x:v>
      </x:c>
      <x:c r="P102" s="7" t="n">
        <x:v>877</x:v>
      </x:c>
      <x:c r="Q102" s="12" t="n">
        <x:f t="shared" si="2">O102-P102</x:f>
        <x:v>-874</x:v>
      </x:c>
      <x:c r="R102" s="13"/>
      <x:c r="S102" s="12"/>
      <x:c r="T102" s="13"/>
      <x:c r="U102" s="13"/>
    </x:row>
    <x:row r="103">
      <x:c r="A103" s="5" t="n">
        <x:v>73229</x:v>
      </x:c>
      <x:c r="B103" s="5" t="n">
        <x:v>240</x:v>
      </x:c>
      <x:c r="C103" s="5" t="n">
        <x:v>3</x:v>
      </x:c>
      <x:c r="D103" s="6" t="str">
        <x:v>VENTILADOR MESA MONDIAL SUPER POWER 40CM VSP-40-W 140W</x:v>
      </x:c>
      <x:c r="E103" s="10"/>
      <x:c r="F103" s="10"/>
      <x:c r="G103" s="10"/>
      <x:c r="H103" s="10"/>
      <x:c r="I103" s="5"/>
      <x:c r="J103" s="10"/>
      <x:c r="K103" s="10"/>
      <x:c r="L103" s="10"/>
      <x:c r="M103" s="10"/>
      <x:c r="N103" s="10"/>
      <x:c r="O103" s="7" t="n">
        <x:f t="shared" si="1">SUM(E103:N103)</x:f>
        <x:v>0</x:v>
      </x:c>
      <x:c r="P103" s="7" t="n">
        <x:v>218</x:v>
      </x:c>
      <x:c r="Q103" s="12" t="n">
        <x:f t="shared" si="2">O103-P103</x:f>
        <x:v>-218</x:v>
      </x:c>
      <x:c r="R103" s="13"/>
      <x:c r="S103" s="12"/>
      <x:c r="T103" s="13"/>
      <x:c r="U103" s="13"/>
    </x:row>
    <x:row r="104">
      <x:c r="A104" s="5" t="n">
        <x:v>73230</x:v>
      </x:c>
      <x:c r="B104" s="5" t="n">
        <x:v>1</x:v>
      </x:c>
      <x:c r="C104" s="5" t="n">
        <x:v>2</x:v>
      </x:c>
      <x:c r="D104" s="6" t="str">
        <x:v>LAVADORA CONSUL CWN13 13KG</x:v>
      </x:c>
      <x:c r="E104" s="10"/>
      <x:c r="F104" s="10"/>
      <x:c r="G104" s="10"/>
      <x:c r="H104" s="5"/>
      <x:c r="I104" s="5"/>
      <x:c r="J104" s="10"/>
      <x:c r="K104" s="5"/>
      <x:c r="L104" s="5" t="n">
        <x:v>9</x:v>
      </x:c>
      <x:c r="M104" s="5"/>
      <x:c r="N104" s="5"/>
      <x:c r="O104" s="7" t="n">
        <x:f t="shared" si="1">SUM(E104:N104)</x:f>
        <x:v>9</x:v>
      </x:c>
      <x:c r="P104" s="7" t="n">
        <x:v>22</x:v>
      </x:c>
      <x:c r="Q104" s="12" t="n">
        <x:f t="shared" si="2">O104-P104</x:f>
        <x:v>-13</x:v>
      </x:c>
      <x:c r="R104" s="16"/>
      <x:c r="S104" s="7"/>
      <x:c r="T104" s="16"/>
      <x:c r="U104" s="16"/>
    </x:row>
    <x:row r="105">
      <x:c r="A105" s="5" t="n">
        <x:v>73230</x:v>
      </x:c>
      <x:c r="B105" s="5" t="n">
        <x:v>1</x:v>
      </x:c>
      <x:c r="C105" s="5" t="n">
        <x:v>3</x:v>
      </x:c>
      <x:c r="D105" s="6" t="str">
        <x:v>LAVADORA CONSUL CWN13 13KG</x:v>
      </x:c>
      <x:c r="E105" s="10"/>
      <x:c r="F105" s="10"/>
      <x:c r="G105" s="10"/>
      <x:c r="H105" s="10"/>
      <x:c r="I105" s="5"/>
      <x:c r="J105" s="10"/>
      <x:c r="K105" s="10"/>
      <x:c r="L105" s="5" t="n">
        <x:v>2</x:v>
      </x:c>
      <x:c r="M105" s="5"/>
      <x:c r="N105" s="5"/>
      <x:c r="O105" s="7" t="n">
        <x:f t="shared" si="1">SUM(E105:N105)</x:f>
        <x:v>2</x:v>
      </x:c>
      <x:c r="P105" s="7" t="n">
        <x:v>5</x:v>
      </x:c>
      <x:c r="Q105" s="12" t="n">
        <x:f t="shared" si="2">O105-P105</x:f>
        <x:v>-3</x:v>
      </x:c>
      <x:c r="R105" s="13"/>
      <x:c r="S105" s="12"/>
      <x:c r="T105" s="13"/>
      <x:c r="U105" s="13"/>
    </x:row>
    <x:row r="106">
      <x:c r="A106" s="5" t="n">
        <x:v>73232</x:v>
      </x:c>
      <x:c r="B106" s="5" t="n">
        <x:v>1</x:v>
      </x:c>
      <x:c r="C106" s="5" t="n">
        <x:v>2</x:v>
      </x:c>
      <x:c r="D106" s="6" t="str">
        <x:v>MICRO-ONDAS AGRATTO 32L 1400W AMIC</x:v>
      </x:c>
      <x:c r="E106" s="10"/>
      <x:c r="F106" s="10"/>
      <x:c r="G106" s="10"/>
      <x:c r="H106" s="10"/>
      <x:c r="I106" s="5"/>
      <x:c r="J106" s="10"/>
      <x:c r="K106" s="5"/>
      <x:c r="L106" s="5" t="n">
        <x:v>4</x:v>
      </x:c>
      <x:c r="M106" s="10"/>
      <x:c r="N106" s="10"/>
      <x:c r="O106" s="7" t="n">
        <x:f t="shared" si="1">SUM(E106:N106)</x:f>
        <x:v>4</x:v>
      </x:c>
      <x:c r="P106" s="7" t="n">
        <x:v>4</x:v>
      </x:c>
      <x:c r="Q106" s="12" t="n">
        <x:f t="shared" si="2">O106-P106</x:f>
        <x:v>0</x:v>
      </x:c>
      <x:c r="R106" s="13"/>
      <x:c r="S106" s="12"/>
      <x:c r="T106" s="13"/>
      <x:c r="U106" s="13"/>
    </x:row>
    <x:row r="107">
      <x:c r="A107" s="5" t="n">
        <x:v>73232</x:v>
      </x:c>
      <x:c r="B107" s="5" t="n">
        <x:v>3</x:v>
      </x:c>
      <x:c r="C107" s="5" t="n">
        <x:v>2</x:v>
      </x:c>
      <x:c r="D107" s="6" t="str">
        <x:v>MICRO-ONDAS AGRATTO 32L 1400W AMIC</x:v>
      </x:c>
      <x:c r="E107" s="10"/>
      <x:c r="F107" s="10"/>
      <x:c r="G107" s="5"/>
      <x:c r="H107" s="10"/>
      <x:c r="I107" s="5"/>
      <x:c r="J107" s="10"/>
      <x:c r="K107" s="5"/>
      <x:c r="L107" s="5" t="n">
        <x:v>1</x:v>
      </x:c>
      <x:c r="M107" s="10"/>
      <x:c r="N107" s="10"/>
      <x:c r="O107" s="7" t="n">
        <x:f t="shared" si="1">SUM(E107:N107)</x:f>
        <x:v>1</x:v>
      </x:c>
      <x:c r="P107" s="7" t="n">
        <x:v>1</x:v>
      </x:c>
      <x:c r="Q107" s="12" t="n">
        <x:f t="shared" si="2">O107-P107</x:f>
        <x:v>0</x:v>
      </x:c>
      <x:c r="R107" s="13"/>
      <x:c r="S107" s="12"/>
      <x:c r="T107" s="13"/>
      <x:c r="U107" s="13"/>
    </x:row>
    <x:row r="108">
      <x:c r="A108" s="5" t="n">
        <x:v>73234</x:v>
      </x:c>
      <x:c r="B108" s="5" t="n">
        <x:v>1</x:v>
      </x:c>
      <x:c r="C108" s="5" t="n">
        <x:v>2</x:v>
      </x:c>
      <x:c r="D108" s="6" t="str">
        <x:v>LAVADORA BRITANIA BLR03 10KG</x:v>
      </x:c>
      <x:c r="E108" s="10"/>
      <x:c r="F108" s="10"/>
      <x:c r="G108" s="10"/>
      <x:c r="H108" s="10"/>
      <x:c r="I108" s="5"/>
      <x:c r="J108" s="10"/>
      <x:c r="K108" s="10"/>
      <x:c r="L108" s="10"/>
      <x:c r="M108" s="10"/>
      <x:c r="N108" s="10"/>
      <x:c r="O108" s="7" t="n">
        <x:f t="shared" si="1">SUM(E108:N108)</x:f>
        <x:v>0</x:v>
      </x:c>
      <x:c r="P108" s="7" t="n">
        <x:v>1</x:v>
      </x:c>
      <x:c r="Q108" s="12" t="n">
        <x:f t="shared" si="2">O108-P108</x:f>
        <x:v>-1</x:v>
      </x:c>
      <x:c r="R108" s="13"/>
      <x:c r="S108" s="12"/>
      <x:c r="T108" s="13"/>
      <x:c r="U108" s="13"/>
    </x:row>
    <x:row r="109">
      <x:c r="A109" s="5" t="n">
        <x:v>73234</x:v>
      </x:c>
      <x:c r="B109" s="5" t="n">
        <x:v>1</x:v>
      </x:c>
      <x:c r="C109" s="5" t="n">
        <x:v>3</x:v>
      </x:c>
      <x:c r="D109" s="6" t="str">
        <x:v>LAVADORA BRITANIA BLR03 10KG</x:v>
      </x:c>
      <x:c r="E109" s="10"/>
      <x:c r="F109" s="10"/>
      <x:c r="G109" s="10"/>
      <x:c r="H109" s="5"/>
      <x:c r="I109" s="5"/>
      <x:c r="J109" s="10"/>
      <x:c r="K109" s="10"/>
      <x:c r="L109" s="10"/>
      <x:c r="M109" s="10"/>
      <x:c r="N109" s="10"/>
      <x:c r="O109" s="7" t="n">
        <x:f t="shared" si="1">SUM(E109:N109)</x:f>
        <x:v>0</x:v>
      </x:c>
      <x:c r="P109" s="7" t="n">
        <x:v>29</x:v>
      </x:c>
      <x:c r="Q109" s="12" t="n">
        <x:f t="shared" si="2">O109-P109</x:f>
        <x:v>-29</x:v>
      </x:c>
      <x:c r="R109" s="13"/>
      <x:c r="S109" s="12"/>
      <x:c r="T109" s="13"/>
      <x:c r="U109" s="13"/>
    </x:row>
    <x:row r="110">
      <x:c r="A110" s="5" t="n">
        <x:v>73235</x:v>
      </x:c>
      <x:c r="B110" s="5" t="n">
        <x:v>1</x:v>
      </x:c>
      <x:c r="C110" s="5" t="n">
        <x:v>2</x:v>
      </x:c>
      <x:c r="D110" s="6" t="str">
        <x:v>LAVADORA BRITANIA BLR04 20,6KG</x:v>
      </x:c>
      <x:c r="E110" s="10"/>
      <x:c r="F110" s="10"/>
      <x:c r="G110" s="10"/>
      <x:c r="H110" s="5"/>
      <x:c r="I110" s="5"/>
      <x:c r="J110" s="10"/>
      <x:c r="K110" s="10"/>
      <x:c r="L110" s="5" t="n">
        <x:v>1</x:v>
      </x:c>
      <x:c r="M110" s="5"/>
      <x:c r="N110" s="5"/>
      <x:c r="O110" s="7" t="n">
        <x:f t="shared" si="1">SUM(E110:N110)</x:f>
        <x:v>1</x:v>
      </x:c>
      <x:c r="P110" s="7" t="n">
        <x:v>5</x:v>
      </x:c>
      <x:c r="Q110" s="12" t="n">
        <x:f t="shared" si="2">O110-P110</x:f>
        <x:v>-4</x:v>
      </x:c>
      <x:c r="R110" s="13"/>
      <x:c r="S110" s="12"/>
      <x:c r="T110" s="13"/>
      <x:c r="U110" s="13"/>
    </x:row>
    <x:row r="111">
      <x:c r="A111" s="5" t="n">
        <x:v>73235</x:v>
      </x:c>
      <x:c r="B111" s="5" t="n">
        <x:v>1</x:v>
      </x:c>
      <x:c r="C111" s="5" t="n">
        <x:v>3</x:v>
      </x:c>
      <x:c r="D111" s="6" t="str">
        <x:v>LAVADORA BRITANIA BLR04 20,6KG</x:v>
      </x:c>
      <x:c r="E111" s="10"/>
      <x:c r="F111" s="10"/>
      <x:c r="G111" s="10"/>
      <x:c r="H111" s="5"/>
      <x:c r="I111" s="5"/>
      <x:c r="J111" s="10"/>
      <x:c r="K111" s="10"/>
      <x:c r="L111" s="10"/>
      <x:c r="M111" s="10"/>
      <x:c r="N111" s="10"/>
      <x:c r="O111" s="7" t="n">
        <x:f t="shared" si="1">SUM(E111:N111)</x:f>
        <x:v>0</x:v>
      </x:c>
      <x:c r="P111" s="7" t="n">
        <x:v>124</x:v>
      </x:c>
      <x:c r="Q111" s="12" t="n">
        <x:f t="shared" si="2">O111-P111</x:f>
        <x:v>-124</x:v>
      </x:c>
      <x:c r="R111" s="13"/>
      <x:c r="S111" s="12"/>
      <x:c r="T111" s="13"/>
      <x:c r="U111" s="13"/>
    </x:row>
    <x:row r="112">
      <x:c r="A112" s="5" t="n">
        <x:v>73241</x:v>
      </x:c>
      <x:c r="B112" s="5" t="n">
        <x:v>3</x:v>
      </x:c>
      <x:c r="C112" s="5" t="n">
        <x:v>4</x:v>
      </x:c>
      <x:c r="D112" s="6" t="str">
        <x:v>TV 50" PHILIPS SMART 4K GOOGLE TV VOZ 50PUG7019/78</x:v>
      </x:c>
      <x:c r="E112" s="10"/>
      <x:c r="F112" s="10"/>
      <x:c r="G112" s="10"/>
      <x:c r="H112" s="5"/>
      <x:c r="I112" s="5"/>
      <x:c r="J112" s="10"/>
      <x:c r="K112" s="10"/>
      <x:c r="L112" s="5" t="n">
        <x:v>1</x:v>
      </x:c>
      <x:c r="M112" s="5"/>
      <x:c r="N112" s="5"/>
      <x:c r="O112" s="7" t="n">
        <x:f t="shared" si="1">SUM(E112:N112)</x:f>
        <x:v>1</x:v>
      </x:c>
      <x:c r="P112" s="7" t="n">
        <x:v>2</x:v>
      </x:c>
      <x:c r="Q112" s="12" t="n">
        <x:f t="shared" si="2">O112-P112</x:f>
        <x:v>-1</x:v>
      </x:c>
      <x:c r="R112" s="16"/>
      <x:c r="S112" s="7"/>
      <x:c r="T112" s="16"/>
      <x:c r="U112" s="16"/>
    </x:row>
    <x:row r="113">
      <x:c r="A113" s="5" t="n">
        <x:v>73243</x:v>
      </x:c>
      <x:c r="B113" s="5" t="n">
        <x:v>3</x:v>
      </x:c>
      <x:c r="C113" s="5" t="n">
        <x:v>4</x:v>
      </x:c>
      <x:c r="D113" s="6" t="str">
        <x:v>TV 32" AOC SMART ROKU DLED HD 32S5045/78G</x:v>
      </x:c>
      <x:c r="E113" s="10"/>
      <x:c r="F113" s="10"/>
      <x:c r="G113" s="10"/>
      <x:c r="H113" s="10"/>
      <x:c r="I113" s="5"/>
      <x:c r="J113" s="10"/>
      <x:c r="K113" s="10"/>
      <x:c r="L113" s="10"/>
      <x:c r="M113" s="10"/>
      <x:c r="N113" s="10"/>
      <x:c r="O113" s="7" t="n">
        <x:f t="shared" si="1">SUM(E113:N113)</x:f>
        <x:v>0</x:v>
      </x:c>
      <x:c r="P113" s="7" t="n">
        <x:v>1</x:v>
      </x:c>
      <x:c r="Q113" s="12" t="n">
        <x:f t="shared" si="2">O113-P113</x:f>
        <x:v>-1</x:v>
      </x:c>
      <x:c r="R113" s="13"/>
      <x:c r="S113" s="12"/>
      <x:c r="T113" s="13"/>
      <x:c r="U113" s="13"/>
    </x:row>
    <x:row r="114">
      <x:c r="A114" s="5" t="n">
        <x:v>73245</x:v>
      </x:c>
      <x:c r="B114" s="5" t="n">
        <x:v>1</x:v>
      </x:c>
      <x:c r="C114" s="5" t="n">
        <x:v>2</x:v>
      </x:c>
      <x:c r="D114" s="6" t="str">
        <x:v>LAVADORA ELECTROLUX LED09 9KG</x:v>
      </x:c>
      <x:c r="E114" s="10"/>
      <x:c r="F114" s="10"/>
      <x:c r="G114" s="10"/>
      <x:c r="H114" s="10"/>
      <x:c r="I114" s="5"/>
      <x:c r="J114" s="10"/>
      <x:c r="K114" s="10"/>
      <x:c r="L114" s="5" t="n">
        <x:v>1</x:v>
      </x:c>
      <x:c r="M114" s="5"/>
      <x:c r="N114" s="5"/>
      <x:c r="O114" s="7" t="n">
        <x:f t="shared" si="1">SUM(E114:N114)</x:f>
        <x:v>1</x:v>
      </x:c>
      <x:c r="P114" s="7" t="n">
        <x:v>1</x:v>
      </x:c>
      <x:c r="Q114" s="12" t="n">
        <x:f t="shared" si="2">O114-P114</x:f>
        <x:v>0</x:v>
      </x:c>
      <x:c r="R114" s="13"/>
      <x:c r="S114" s="12"/>
      <x:c r="T114" s="13"/>
      <x:c r="U114" s="13"/>
    </x:row>
    <x:row r="115">
      <x:c r="A115" s="5" t="n">
        <x:v>73247</x:v>
      </x:c>
      <x:c r="B115" s="5" t="n">
        <x:v>1926</x:v>
      </x:c>
      <x:c r="C115" s="5" t="n">
        <x:v>0</x:v>
      </x:c>
      <x:c r="D115" s="6" t="str">
        <x:v>BICICLETA AERO ARO 26 RBX</x:v>
      </x:c>
      <x:c r="E115" s="10"/>
      <x:c r="F115" s="10"/>
      <x:c r="G115" s="10"/>
      <x:c r="H115" s="10"/>
      <x:c r="I115" s="5"/>
      <x:c r="J115" s="10"/>
      <x:c r="K115" s="10"/>
      <x:c r="L115" s="10"/>
      <x:c r="M115" s="10"/>
      <x:c r="N115" s="10"/>
      <x:c r="O115" s="7" t="n">
        <x:f t="shared" si="1">SUM(E115:N115)</x:f>
        <x:v>0</x:v>
      </x:c>
      <x:c r="P115" s="7" t="n">
        <x:v>53</x:v>
      </x:c>
      <x:c r="Q115" s="12" t="n">
        <x:f t="shared" si="2">O115-P115</x:f>
        <x:v>-53</x:v>
      </x:c>
      <x:c r="R115" s="13"/>
      <x:c r="S115" s="12"/>
      <x:c r="T115" s="13"/>
      <x:c r="U115" s="13"/>
    </x:row>
    <x:row r="116">
      <x:c r="A116" s="5" t="n">
        <x:v>73247</x:v>
      </x:c>
      <x:c r="B116" s="5" t="n">
        <x:v>2533</x:v>
      </x:c>
      <x:c r="C116" s="5" t="n">
        <x:v>0</x:v>
      </x:c>
      <x:c r="D116" s="6" t="str">
        <x:v>BICICLETA AERO ARO 26 RBX</x:v>
      </x:c>
      <x:c r="E116" s="10"/>
      <x:c r="F116" s="10"/>
      <x:c r="G116" s="10"/>
      <x:c r="H116" s="10"/>
      <x:c r="I116" s="5"/>
      <x:c r="J116" s="10"/>
      <x:c r="K116" s="10"/>
      <x:c r="L116" s="10"/>
      <x:c r="M116" s="10"/>
      <x:c r="N116" s="10"/>
      <x:c r="O116" s="7" t="n">
        <x:f t="shared" si="1">SUM(E116:N116)</x:f>
        <x:v>0</x:v>
      </x:c>
      <x:c r="P116" s="7" t="n">
        <x:v>151</x:v>
      </x:c>
      <x:c r="Q116" s="12" t="n">
        <x:f t="shared" si="2">O116-P116</x:f>
        <x:v>-151</x:v>
      </x:c>
      <x:c r="R116" s="13"/>
      <x:c r="S116" s="12"/>
      <x:c r="T116" s="13"/>
      <x:c r="U116" s="13"/>
    </x:row>
    <x:row r="117">
      <x:c r="A117" s="5" t="n">
        <x:v>73323</x:v>
      </x:c>
      <x:c r="B117" s="5" t="n">
        <x:v>3</x:v>
      </x:c>
      <x:c r="C117" s="5" t="n">
        <x:v>2</x:v>
      </x:c>
      <x:c r="D117" s="6" t="str">
        <x:v>VENTILADOR MESA MONDIAL VTX-40CRYSTAL 40CM 140W</x:v>
      </x:c>
      <x:c r="E117" s="10"/>
      <x:c r="F117" s="10"/>
      <x:c r="G117" s="10"/>
      <x:c r="H117" s="10"/>
      <x:c r="I117" s="5"/>
      <x:c r="J117" s="10"/>
      <x:c r="K117" s="10"/>
      <x:c r="L117" s="10"/>
      <x:c r="M117" s="10"/>
      <x:c r="N117" s="10"/>
      <x:c r="O117" s="7" t="n">
        <x:f t="shared" si="1">SUM(E117:N117)</x:f>
        <x:v>0</x:v>
      </x:c>
      <x:c r="P117" s="7" t="n">
        <x:v>1</x:v>
      </x:c>
      <x:c r="Q117" s="12" t="n">
        <x:f t="shared" si="2">O117-P117</x:f>
        <x:v>-1</x:v>
      </x:c>
      <x:c r="R117" s="13"/>
      <x:c r="S117" s="12"/>
      <x:c r="T117" s="13"/>
      <x:c r="U117" s="13"/>
    </x:row>
    <x:row r="118">
      <x:c r="A118" s="5" t="n">
        <x:v>73407</x:v>
      </x:c>
      <x:c r="B118" s="5" t="n">
        <x:v>3</x:v>
      </x:c>
      <x:c r="C118" s="5" t="n">
        <x:v>4</x:v>
      </x:c>
      <x:c r="D118" s="6" t="str">
        <x:v>TV 40" AOC SMART ROKU DLED HD 40S5045/78</x:v>
      </x:c>
      <x:c r="E118" s="5"/>
      <x:c r="F118" s="5"/>
      <x:c r="G118" s="10"/>
      <x:c r="H118" s="10"/>
      <x:c r="I118" s="5"/>
      <x:c r="J118" s="10"/>
      <x:c r="K118" s="10"/>
      <x:c r="L118" s="10"/>
      <x:c r="M118" s="10"/>
      <x:c r="N118" s="5"/>
      <x:c r="O118" s="7" t="n">
        <x:f t="shared" si="1">SUM(E118:N118)</x:f>
        <x:v>0</x:v>
      </x:c>
      <x:c r="P118" s="7" t="n">
        <x:v>1</x:v>
      </x:c>
      <x:c r="Q118" s="12" t="n">
        <x:f t="shared" si="2">O118-P118</x:f>
        <x:v>-1</x:v>
      </x:c>
      <x:c r="R118" s="16"/>
      <x:c r="S118" s="7"/>
      <x:c r="T118" s="16" t="str">
        <x:v>Informado no pró-ativo</x:v>
      </x:c>
      <x:c r="U118" s="16"/>
    </x:row>
    <x:row r="119">
      <x:c r="A119" s="5" t="n">
        <x:v>73475</x:v>
      </x:c>
      <x:c r="B119" s="5" t="n">
        <x:v>3</x:v>
      </x:c>
      <x:c r="C119" s="5" t="n">
        <x:v>4</x:v>
      </x:c>
      <x:c r="D119" s="6" t="str">
        <x:v>TV 32" PHILIPS SMART HD GOOGLE 32PHG6909/78</x:v>
      </x:c>
      <x:c r="E119" s="10"/>
      <x:c r="F119" s="10"/>
      <x:c r="G119" s="10"/>
      <x:c r="H119" s="10"/>
      <x:c r="I119" s="5"/>
      <x:c r="J119" s="10"/>
      <x:c r="K119" s="10"/>
      <x:c r="L119" s="10"/>
      <x:c r="M119" s="10"/>
      <x:c r="N119" s="10"/>
      <x:c r="O119" s="7" t="n">
        <x:f t="shared" si="1">SUM(E119:N119)</x:f>
        <x:v>0</x:v>
      </x:c>
      <x:c r="P119" s="7" t="n">
        <x:v>166</x:v>
      </x:c>
      <x:c r="Q119" s="12" t="n">
        <x:f t="shared" si="2">O119-P119</x:f>
        <x:v>-166</x:v>
      </x:c>
      <x:c r="R119" s="13"/>
      <x:c r="S119" s="12"/>
      <x:c r="T119" s="13"/>
      <x:c r="U119" s="13"/>
    </x:row>
    <x:row r="120">
      <x:c r="A120" s="5" t="n">
        <x:v>73477</x:v>
      </x:c>
      <x:c r="B120" s="5" t="n">
        <x:v>3</x:v>
      </x:c>
      <x:c r="C120" s="5" t="n">
        <x:v>4</x:v>
      </x:c>
      <x:c r="D120" s="6" t="str">
        <x:v>TV 43" PHILIPS SMART FULL HD GOOGLE TV 43PFG6909/78</x:v>
      </x:c>
      <x:c r="E120" s="10"/>
      <x:c r="F120" s="10"/>
      <x:c r="G120" s="5"/>
      <x:c r="H120" s="10"/>
      <x:c r="I120" s="5"/>
      <x:c r="J120" s="10"/>
      <x:c r="K120" s="10"/>
      <x:c r="L120" s="10"/>
      <x:c r="M120" s="10"/>
      <x:c r="N120" s="10"/>
      <x:c r="O120" s="7" t="n">
        <x:f t="shared" si="1">SUM(E120:N120)</x:f>
        <x:v>0</x:v>
      </x:c>
      <x:c r="P120" s="7" t="n">
        <x:v>7</x:v>
      </x:c>
      <x:c r="Q120" s="12" t="n">
        <x:f t="shared" si="2">O120-P120</x:f>
        <x:v>-7</x:v>
      </x:c>
      <x:c r="R120" s="13"/>
      <x:c r="S120" s="12"/>
      <x:c r="T120" s="13"/>
      <x:c r="U120" s="13"/>
    </x:row>
    <x:row r="121">
      <x:c r="A121" s="5" t="n">
        <x:v>73578</x:v>
      </x:c>
      <x:c r="B121" s="5" t="n">
        <x:v>1</x:v>
      </x:c>
      <x:c r="C121" s="5" t="n">
        <x:v>2</x:v>
      </x:c>
      <x:c r="D121" s="6" t="str">
        <x:v>LAVADORA MIDEA WAVE AGITATOR 13KG</x:v>
      </x:c>
      <x:c r="E121" s="5"/>
      <x:c r="F121" s="5"/>
      <x:c r="G121" s="5"/>
      <x:c r="H121" s="5"/>
      <x:c r="I121" s="5"/>
      <x:c r="J121" s="10"/>
      <x:c r="K121" s="5"/>
      <x:c r="L121" s="5" t="n">
        <x:v>6</x:v>
      </x:c>
      <x:c r="M121" s="5"/>
      <x:c r="N121" s="5"/>
      <x:c r="O121" s="7" t="n">
        <x:f t="shared" si="1">SUM(E121:N121)</x:f>
        <x:v>6</x:v>
      </x:c>
      <x:c r="P121" s="7" t="n">
        <x:v>160</x:v>
      </x:c>
      <x:c r="Q121" s="12" t="n">
        <x:f t="shared" si="2">O121-P121</x:f>
        <x:v>-154</x:v>
      </x:c>
      <x:c r="R121" s="16"/>
      <x:c r="S121" s="7"/>
      <x:c r="T121" s="13"/>
      <x:c r="U121" s="13"/>
    </x:row>
    <x:row r="122">
      <x:c r="A122" s="5" t="n">
        <x:v>73578</x:v>
      </x:c>
      <x:c r="B122" s="5" t="n">
        <x:v>1</x:v>
      </x:c>
      <x:c r="C122" s="5" t="n">
        <x:v>3</x:v>
      </x:c>
      <x:c r="D122" s="6" t="str">
        <x:v>LAVADORA MIDEA WAVE AGITATOR 13KG</x:v>
      </x:c>
      <x:c r="E122" s="10"/>
      <x:c r="F122" s="10"/>
      <x:c r="G122" s="10"/>
      <x:c r="H122" s="5"/>
      <x:c r="I122" s="5"/>
      <x:c r="J122" s="10"/>
      <x:c r="K122" s="10"/>
      <x:c r="L122" s="5" t="n">
        <x:v>2</x:v>
      </x:c>
      <x:c r="M122" s="5"/>
      <x:c r="N122" s="5"/>
      <x:c r="O122" s="7" t="n">
        <x:f t="shared" si="1">SUM(E122:N122)</x:f>
        <x:v>2</x:v>
      </x:c>
      <x:c r="P122" s="7" t="n">
        <x:v>4</x:v>
      </x:c>
      <x:c r="Q122" s="12" t="n">
        <x:f t="shared" si="2">O122-P122</x:f>
        <x:v>-2</x:v>
      </x:c>
      <x:c r="R122" s="13"/>
      <x:c r="S122" s="12"/>
      <x:c r="T122" s="13"/>
      <x:c r="U122" s="13"/>
    </x:row>
    <x:row r="123">
      <x:c r="A123" s="5" t="n">
        <x:v>73579</x:v>
      </x:c>
      <x:c r="B123" s="5" t="n">
        <x:v>1</x:v>
      </x:c>
      <x:c r="C123" s="5" t="n">
        <x:v>2</x:v>
      </x:c>
      <x:c r="D123" s="6" t="str">
        <x:v>REFRIGERADOR MIDEA F.FREE DUPLEX MD-RT572 425L BR</x:v>
      </x:c>
      <x:c r="E123" s="10"/>
      <x:c r="F123" s="10"/>
      <x:c r="G123" s="10"/>
      <x:c r="H123" s="10"/>
      <x:c r="I123" s="5"/>
      <x:c r="J123" s="10"/>
      <x:c r="K123" s="10"/>
      <x:c r="L123" s="10"/>
      <x:c r="M123" s="10"/>
      <x:c r="N123" s="10"/>
      <x:c r="O123" s="7" t="n">
        <x:f t="shared" si="1">SUM(E123:N123)</x:f>
        <x:v>0</x:v>
      </x:c>
      <x:c r="P123" s="7" t="n">
        <x:v>7</x:v>
      </x:c>
      <x:c r="Q123" s="7" t="n">
        <x:f>O123-P123</x:f>
        <x:v>-7</x:v>
      </x:c>
      <x:c r="R123" s="16"/>
      <x:c r="S123" s="7"/>
      <x:c r="T123" s="16"/>
      <x:c r="U123" s="16"/>
    </x:row>
    <x:row r="124">
      <x:c r="A124" s="5" t="n">
        <x:v>73579</x:v>
      </x:c>
      <x:c r="B124" s="5" t="n">
        <x:v>1</x:v>
      </x:c>
      <x:c r="C124" s="5" t="n">
        <x:v>3</x:v>
      </x:c>
      <x:c r="D124" s="6" t="str">
        <x:v>REFRIGERADOR MIDEA F.FREE DUPLEX MD-RT572 425L BR</x:v>
      </x:c>
      <x:c r="E124" s="10"/>
      <x:c r="F124" s="10"/>
      <x:c r="G124" s="10"/>
      <x:c r="H124" s="10"/>
      <x:c r="I124" s="5"/>
      <x:c r="J124" s="10"/>
      <x:c r="K124" s="10"/>
      <x:c r="L124" s="5" t="n">
        <x:v>6</x:v>
      </x:c>
      <x:c r="M124" s="5"/>
      <x:c r="N124" s="5"/>
      <x:c r="O124" s="7" t="n">
        <x:f t="shared" si="1">SUM(E124:N124)</x:f>
        <x:v>6</x:v>
      </x:c>
      <x:c r="P124" s="7" t="n">
        <x:v>111</x:v>
      </x:c>
      <x:c r="Q124" s="12" t="n">
        <x:f t="shared" ref="Q124:Q263" si="3">O124-P124</x:f>
        <x:v>-105</x:v>
      </x:c>
      <x:c r="R124" s="16"/>
      <x:c r="S124" s="7"/>
      <x:c r="T124" s="16"/>
      <x:c r="U124" s="16"/>
    </x:row>
    <x:row r="125">
      <x:c r="A125" s="5" t="n">
        <x:v>73656</x:v>
      </x:c>
      <x:c r="B125" s="5" t="n">
        <x:v>1</x:v>
      </x:c>
      <x:c r="C125" s="5" t="n">
        <x:v>2</x:v>
      </x:c>
      <x:c r="D125" s="6" t="str">
        <x:v>LIQUIDIFICADOR MONDIAL L-97-W</x:v>
      </x:c>
      <x:c r="E125" s="10"/>
      <x:c r="F125" s="10"/>
      <x:c r="G125" s="10"/>
      <x:c r="H125" s="10"/>
      <x:c r="I125" s="5"/>
      <x:c r="J125" s="10"/>
      <x:c r="K125" s="10"/>
      <x:c r="L125" s="10"/>
      <x:c r="M125" s="10"/>
      <x:c r="N125" s="10"/>
      <x:c r="O125" s="7" t="n">
        <x:f t="shared" si="1">SUM(E125:N125)</x:f>
        <x:v>0</x:v>
      </x:c>
      <x:c r="P125" s="7" t="n">
        <x:v>1035</x:v>
      </x:c>
      <x:c r="Q125" s="12" t="n">
        <x:f t="shared" si="3">O125-P125</x:f>
        <x:v>-1035</x:v>
      </x:c>
      <x:c r="R125" s="13"/>
      <x:c r="S125" s="7" t="n">
        <x:v>14</x:v>
      </x:c>
      <x:c r="T125" s="13"/>
      <x:c r="U125" s="13"/>
    </x:row>
    <x:row r="126">
      <x:c r="A126" s="5" t="n">
        <x:v>73656</x:v>
      </x:c>
      <x:c r="B126" s="5" t="n">
        <x:v>1</x:v>
      </x:c>
      <x:c r="C126" s="5" t="n">
        <x:v>3</x:v>
      </x:c>
      <x:c r="D126" s="6" t="str">
        <x:v>LIQUIDIFICADOR MONDIAL L-97-W</x:v>
      </x:c>
      <x:c r="E126" s="10"/>
      <x:c r="F126" s="10"/>
      <x:c r="G126" s="10"/>
      <x:c r="H126" s="10"/>
      <x:c r="I126" s="5"/>
      <x:c r="J126" s="10"/>
      <x:c r="K126" s="10"/>
      <x:c r="L126" s="10"/>
      <x:c r="M126" s="10"/>
      <x:c r="N126" s="10"/>
      <x:c r="O126" s="7" t="n">
        <x:f t="shared" si="1">SUM(E126:N126)</x:f>
        <x:v>0</x:v>
      </x:c>
      <x:c r="P126" s="7" t="n">
        <x:v>304</x:v>
      </x:c>
      <x:c r="Q126" s="12" t="n">
        <x:f t="shared" si="3">O126-P126</x:f>
        <x:v>-304</x:v>
      </x:c>
      <x:c r="R126" s="13"/>
      <x:c r="S126" s="7" t="n">
        <x:v>3</x:v>
      </x:c>
      <x:c r="T126" s="13"/>
      <x:c r="U126" s="13"/>
    </x:row>
    <x:row r="127">
      <x:c r="A127" s="5" t="n">
        <x:v>73657</x:v>
      </x:c>
      <x:c r="B127" s="5" t="n">
        <x:v>3</x:v>
      </x:c>
      <x:c r="C127" s="5" t="n">
        <x:v>3</x:v>
      </x:c>
      <x:c r="D127" s="6" t="str">
        <x:v>LIQUIDIFICADOR MONDIAL L-98-B</x:v>
      </x:c>
      <x:c r="E127" s="10"/>
      <x:c r="F127" s="10"/>
      <x:c r="G127" s="5"/>
      <x:c r="H127" s="10"/>
      <x:c r="I127" s="5"/>
      <x:c r="J127" s="10"/>
      <x:c r="K127" s="10"/>
      <x:c r="L127" s="10"/>
      <x:c r="M127" s="10"/>
      <x:c r="N127" s="10"/>
      <x:c r="O127" s="7" t="n">
        <x:f t="shared" si="1">SUM(E127:N127)</x:f>
        <x:v>0</x:v>
      </x:c>
      <x:c r="P127" s="7" t="n">
        <x:v>219</x:v>
      </x:c>
      <x:c r="Q127" s="12" t="n">
        <x:f t="shared" si="3">O127-P127</x:f>
        <x:v>-219</x:v>
      </x:c>
      <x:c r="R127" s="13"/>
      <x:c r="S127" s="12"/>
      <x:c r="T127" s="13"/>
      <x:c r="U127" s="13"/>
    </x:row>
    <x:row r="128">
      <x:c r="A128" s="5" t="n">
        <x:v>73666</x:v>
      </x:c>
      <x:c r="B128" s="5" t="n">
        <x:v>1</x:v>
      </x:c>
      <x:c r="C128" s="5" t="n">
        <x:v>2</x:v>
      </x:c>
      <x:c r="D128" s="6" t="str">
        <x:v>SPLIT PHILCO PAC12000 INVERTER FRIO PAC12FB</x:v>
      </x:c>
      <x:c r="E128" s="24"/>
      <x:c r="F128" s="24"/>
      <x:c r="G128" s="24"/>
      <x:c r="H128" s="24"/>
      <x:c r="I128" s="25"/>
      <x:c r="J128" s="24"/>
      <x:c r="K128" s="24"/>
      <x:c r="L128" s="24"/>
      <x:c r="M128" s="24"/>
      <x:c r="N128" s="24"/>
      <x:c r="O128" s="26" t="n">
        <x:f t="shared" si="1">SUM(E128:N128)</x:f>
        <x:v>0</x:v>
      </x:c>
      <x:c r="P128" s="26" t="n">
        <x:v>277</x:v>
      </x:c>
      <x:c r="Q128" s="27" t="n">
        <x:f t="shared" si="3">O128-P128</x:f>
        <x:v>-277</x:v>
      </x:c>
      <x:c r="R128" s="13"/>
      <x:c r="S128" s="12"/>
      <x:c r="T128" s="13"/>
      <x:c r="U128" s="13"/>
    </x:row>
    <x:row r="129">
      <x:c r="A129" s="5" t="n">
        <x:v>73681</x:v>
      </x:c>
      <x:c r="B129" s="5" t="n">
        <x:v>1</x:v>
      </x:c>
      <x:c r="C129" s="5" t="n">
        <x:v>2</x:v>
      </x:c>
      <x:c r="D129" s="6" t="str">
        <x:v>REFRIGERADOR CONSUL F.FREE CRM50LB 410L</x:v>
      </x:c>
      <x:c r="E129" s="5"/>
      <x:c r="F129" s="5"/>
      <x:c r="G129" s="10"/>
      <x:c r="H129" s="10"/>
      <x:c r="I129" s="5"/>
      <x:c r="J129" s="5"/>
      <x:c r="K129" s="10"/>
      <x:c r="L129" s="5" t="n">
        <x:v>3</x:v>
      </x:c>
      <x:c r="M129" s="5"/>
      <x:c r="N129" s="5"/>
      <x:c r="O129" s="7" t="n">
        <x:f t="shared" si="1">SUM(E129:N129)</x:f>
        <x:v>3</x:v>
      </x:c>
      <x:c r="P129" s="7" t="n">
        <x:v>19</x:v>
      </x:c>
      <x:c r="Q129" s="12" t="n">
        <x:f t="shared" si="3">O129-P129</x:f>
        <x:v>-16</x:v>
      </x:c>
      <x:c r="R129" s="13"/>
      <x:c r="S129" s="12"/>
      <x:c r="T129" s="13"/>
      <x:c r="U129" s="13"/>
    </x:row>
    <x:row r="130">
      <x:c r="A130" s="5" t="n">
        <x:v>73681</x:v>
      </x:c>
      <x:c r="B130" s="5" t="n">
        <x:v>1</x:v>
      </x:c>
      <x:c r="C130" s="5" t="n">
        <x:v>3</x:v>
      </x:c>
      <x:c r="D130" s="6" t="str">
        <x:v>REFRIGERADOR CONSUL F.FREE CRM50LB 410L</x:v>
      </x:c>
      <x:c r="E130" s="10"/>
      <x:c r="F130" s="10"/>
      <x:c r="G130" s="10"/>
      <x:c r="H130" s="10"/>
      <x:c r="I130" s="5"/>
      <x:c r="J130" s="10"/>
      <x:c r="K130" s="10"/>
      <x:c r="L130" s="5" t="n">
        <x:v>1</x:v>
      </x:c>
      <x:c r="M130" s="5"/>
      <x:c r="N130" s="5"/>
      <x:c r="O130" s="7" t="n">
        <x:f t="shared" si="1">SUM(E130:N130)</x:f>
        <x:v>1</x:v>
      </x:c>
      <x:c r="P130" s="7" t="n">
        <x:v>1</x:v>
      </x:c>
      <x:c r="Q130" s="12" t="n">
        <x:f t="shared" si="3">O130-P130</x:f>
        <x:v>0</x:v>
      </x:c>
      <x:c r="R130" s="13"/>
      <x:c r="S130" s="12"/>
      <x:c r="T130" s="13"/>
      <x:c r="U130" s="13"/>
    </x:row>
    <x:row r="131">
      <x:c r="A131" s="5" t="n">
        <x:v>73696</x:v>
      </x:c>
      <x:c r="B131" s="5" t="n">
        <x:v>1</x:v>
      </x:c>
      <x:c r="C131" s="5" t="n">
        <x:v>2</x:v>
      </x:c>
      <x:c r="D131" s="6" t="str">
        <x:v>REFRIGERADOR ESMALTEC RCD34 PRO 276L</x:v>
      </x:c>
      <x:c r="E131" s="10"/>
      <x:c r="F131" s="10"/>
      <x:c r="G131" s="10"/>
      <x:c r="H131" s="10"/>
      <x:c r="I131" s="5"/>
      <x:c r="J131" s="10"/>
      <x:c r="K131" s="10"/>
      <x:c r="L131" s="5" t="n">
        <x:v>3</x:v>
      </x:c>
      <x:c r="M131" s="5"/>
      <x:c r="N131" s="5"/>
      <x:c r="O131" s="7" t="n">
        <x:f t="shared" si="1">SUM(E131:N131)</x:f>
        <x:v>3</x:v>
      </x:c>
      <x:c r="P131" s="7" t="n">
        <x:v>2</x:v>
      </x:c>
      <x:c r="Q131" s="12" t="n">
        <x:f t="shared" si="3">O131-P131</x:f>
        <x:v>1</x:v>
      </x:c>
      <x:c r="R131" s="13"/>
      <x:c r="S131" s="12"/>
      <x:c r="T131" s="13"/>
      <x:c r="U131" s="13"/>
    </x:row>
    <x:row r="132">
      <x:c r="A132" s="5" t="n">
        <x:v>73696</x:v>
      </x:c>
      <x:c r="B132" s="5" t="n">
        <x:v>1</x:v>
      </x:c>
      <x:c r="C132" s="5" t="n">
        <x:v>3</x:v>
      </x:c>
      <x:c r="D132" s="6" t="str">
        <x:v>REFRIGERADOR ESMALTEC RCD34 PRO 276L</x:v>
      </x:c>
      <x:c r="E132" s="24"/>
      <x:c r="F132" s="24"/>
      <x:c r="G132" s="24"/>
      <x:c r="H132" s="25"/>
      <x:c r="I132" s="25"/>
      <x:c r="J132" s="24"/>
      <x:c r="K132" s="24"/>
      <x:c r="L132" s="25"/>
      <x:c r="M132" s="24"/>
      <x:c r="N132" s="24"/>
      <x:c r="O132" s="26" t="n">
        <x:f t="shared" si="1">SUM(E132:N132)</x:f>
        <x:v>0</x:v>
      </x:c>
      <x:c r="P132" s="26" t="n">
        <x:v>6</x:v>
      </x:c>
      <x:c r="Q132" s="27" t="n">
        <x:f t="shared" si="3">O132-P132</x:f>
        <x:v>-6</x:v>
      </x:c>
      <x:c r="R132" s="13"/>
      <x:c r="S132" s="12"/>
      <x:c r="T132" s="13"/>
      <x:c r="U132" s="13"/>
    </x:row>
    <x:row r="133">
      <x:c r="A133" s="5" t="n">
        <x:v>73697</x:v>
      </x:c>
      <x:c r="B133" s="5" t="n">
        <x:v>1</x:v>
      </x:c>
      <x:c r="C133" s="5" t="n">
        <x:v>4</x:v>
      </x:c>
      <x:c r="D133" s="6" t="str">
        <x:v>FOGAO ESMALTEC 5BCS IDEAL SUPER</x:v>
      </x:c>
      <x:c r="E133" s="10"/>
      <x:c r="F133" s="10"/>
      <x:c r="G133" s="10"/>
      <x:c r="H133" s="10"/>
      <x:c r="I133" s="5"/>
      <x:c r="J133" s="10"/>
      <x:c r="K133" s="10"/>
      <x:c r="L133" s="5" t="n">
        <x:v>1</x:v>
      </x:c>
      <x:c r="M133" s="5"/>
      <x:c r="N133" s="5"/>
      <x:c r="O133" s="7" t="n">
        <x:f t="shared" si="1">SUM(E133:N133)</x:f>
        <x:v>1</x:v>
      </x:c>
      <x:c r="P133" s="7" t="n">
        <x:v>5</x:v>
      </x:c>
      <x:c r="Q133" s="12" t="n">
        <x:f t="shared" si="3">O133-P133</x:f>
        <x:v>-4</x:v>
      </x:c>
      <x:c r="R133" s="13"/>
      <x:c r="S133" s="12"/>
      <x:c r="T133" s="13"/>
      <x:c r="U133" s="13"/>
    </x:row>
    <x:row r="134">
      <x:c r="A134" s="5" t="n">
        <x:v>73697</x:v>
      </x:c>
      <x:c r="B134" s="5" t="n">
        <x:v>3</x:v>
      </x:c>
      <x:c r="C134" s="5" t="n">
        <x:v>4</x:v>
      </x:c>
      <x:c r="D134" s="6" t="str">
        <x:v>FOGAO ESMALTEC 5BCS IDEAL SUPER</x:v>
      </x:c>
      <x:c r="E134" s="10"/>
      <x:c r="F134" s="10"/>
      <x:c r="G134" s="10"/>
      <x:c r="H134" s="5"/>
      <x:c r="I134" s="5"/>
      <x:c r="J134" s="5"/>
      <x:c r="K134" s="10"/>
      <x:c r="L134" s="10"/>
      <x:c r="M134" s="10"/>
      <x:c r="N134" s="10"/>
      <x:c r="O134" s="7" t="n">
        <x:f t="shared" si="1">SUM(E134:N134)</x:f>
        <x:v>0</x:v>
      </x:c>
      <x:c r="P134" s="7" t="n">
        <x:v>29</x:v>
      </x:c>
      <x:c r="Q134" s="12" t="n">
        <x:f t="shared" si="3">O134-P134</x:f>
        <x:v>-29</x:v>
      </x:c>
      <x:c r="R134" s="13"/>
      <x:c r="S134" s="12"/>
      <x:c r="T134" s="13"/>
      <x:c r="U134" s="13"/>
    </x:row>
    <x:row r="135">
      <x:c r="A135" s="5" t="n">
        <x:v>73698</x:v>
      </x:c>
      <x:c r="B135" s="5" t="n">
        <x:v>1</x:v>
      </x:c>
      <x:c r="C135" s="5" t="n">
        <x:v>4</x:v>
      </x:c>
      <x:c r="D135" s="6" t="str">
        <x:v>FOGAO ESMALTEC 4BCS IDEAL SUPER</x:v>
      </x:c>
      <x:c r="E135" s="10"/>
      <x:c r="F135" s="10"/>
      <x:c r="G135" s="10"/>
      <x:c r="H135" s="10"/>
      <x:c r="I135" s="5"/>
      <x:c r="J135" s="10"/>
      <x:c r="K135" s="10"/>
      <x:c r="L135" s="5" t="n">
        <x:v>3</x:v>
      </x:c>
      <x:c r="M135" s="10"/>
      <x:c r="N135" s="10"/>
      <x:c r="O135" s="7" t="n">
        <x:f t="shared" si="1">SUM(E135:N135)</x:f>
        <x:v>3</x:v>
      </x:c>
      <x:c r="P135" s="7" t="n">
        <x:v>4</x:v>
      </x:c>
      <x:c r="Q135" s="12" t="n">
        <x:f t="shared" si="3">O135-P135</x:f>
        <x:v>-1</x:v>
      </x:c>
      <x:c r="R135" s="13"/>
      <x:c r="S135" s="12"/>
      <x:c r="T135" s="13"/>
      <x:c r="U135" s="13"/>
    </x:row>
    <x:row r="136">
      <x:c r="A136" s="5" t="n">
        <x:v>73698</x:v>
      </x:c>
      <x:c r="B136" s="5" t="n">
        <x:v>3</x:v>
      </x:c>
      <x:c r="C136" s="5" t="n">
        <x:v>4</x:v>
      </x:c>
      <x:c r="D136" s="6" t="str">
        <x:v>FOGAO ESMALTEC 4BCS IDEAL SUPER</x:v>
      </x:c>
      <x:c r="E136" s="24"/>
      <x:c r="F136" s="24"/>
      <x:c r="G136" s="24"/>
      <x:c r="H136" s="24"/>
      <x:c r="I136" s="25"/>
      <x:c r="J136" s="24"/>
      <x:c r="K136" s="24"/>
      <x:c r="L136" s="25" t="n">
        <x:v>3</x:v>
      </x:c>
      <x:c r="M136" s="25"/>
      <x:c r="N136" s="25"/>
      <x:c r="O136" s="26" t="n">
        <x:f t="shared" si="1">SUM(E136:N136)</x:f>
        <x:v>3</x:v>
      </x:c>
      <x:c r="P136" s="26" t="n">
        <x:v>13</x:v>
      </x:c>
      <x:c r="Q136" s="27" t="n">
        <x:f t="shared" si="3">O136-P136</x:f>
        <x:v>-10</x:v>
      </x:c>
      <x:c r="R136" s="13"/>
      <x:c r="S136" s="12"/>
      <x:c r="T136" s="13"/>
      <x:c r="U136" s="13"/>
    </x:row>
    <x:row r="137">
      <x:c r="A137" s="5" t="n">
        <x:v>73699</x:v>
      </x:c>
      <x:c r="B137" s="5" t="n">
        <x:v>1</x:v>
      </x:c>
      <x:c r="C137" s="5" t="n">
        <x:v>0</x:v>
      </x:c>
      <x:c r="D137" s="6" t="str">
        <x:v>FOGAO ESMALTEC 5BCS IDEAL POP</x:v>
      </x:c>
      <x:c r="E137" s="10"/>
      <x:c r="F137" s="10"/>
      <x:c r="G137" s="10"/>
      <x:c r="H137" s="5"/>
      <x:c r="I137" s="5"/>
      <x:c r="J137" s="10"/>
      <x:c r="K137" s="10"/>
      <x:c r="L137" s="10"/>
      <x:c r="M137" s="10"/>
      <x:c r="N137" s="10"/>
      <x:c r="O137" s="7" t="n">
        <x:f t="shared" si="1">SUM(E137:N137)</x:f>
        <x:v>0</x:v>
      </x:c>
      <x:c r="P137" s="7" t="n">
        <x:v>124</x:v>
      </x:c>
      <x:c r="Q137" s="12" t="n">
        <x:f t="shared" si="3">O137-P137</x:f>
        <x:v>-124</x:v>
      </x:c>
      <x:c r="R137" s="13"/>
      <x:c r="S137" s="7" t="n">
        <x:v>3</x:v>
      </x:c>
      <x:c r="T137" s="13"/>
      <x:c r="U137" s="13"/>
    </x:row>
    <x:row r="138">
      <x:c r="A138" s="5" t="n">
        <x:v>73699</x:v>
      </x:c>
      <x:c r="B138" s="5" t="n">
        <x:v>3</x:v>
      </x:c>
      <x:c r="C138" s="5" t="n">
        <x:v>0</x:v>
      </x:c>
      <x:c r="D138" s="6" t="str">
        <x:v>FOGAO ESMALTEC 5BCS IDEAL POP</x:v>
      </x:c>
      <x:c r="E138" s="10"/>
      <x:c r="F138" s="10"/>
      <x:c r="G138" s="10"/>
      <x:c r="H138" s="5"/>
      <x:c r="I138" s="5"/>
      <x:c r="J138" s="5"/>
      <x:c r="K138" s="10"/>
      <x:c r="L138" s="5"/>
      <x:c r="M138" s="5"/>
      <x:c r="N138" s="5"/>
      <x:c r="O138" s="7" t="n">
        <x:f t="shared" si="1">SUM(E138:N138)</x:f>
        <x:v>0</x:v>
      </x:c>
      <x:c r="P138" s="7" t="n">
        <x:v>87</x:v>
      </x:c>
      <x:c r="Q138" s="12" t="n">
        <x:f t="shared" si="3">O138-P138</x:f>
        <x:v>-87</x:v>
      </x:c>
      <x:c r="R138" s="16"/>
      <x:c r="S138" s="7" t="n">
        <x:v>1</x:v>
      </x:c>
      <x:c r="T138" s="16"/>
      <x:c r="U138" s="16"/>
    </x:row>
    <x:row r="139">
      <x:c r="A139" s="5" t="n">
        <x:v>73700</x:v>
      </x:c>
      <x:c r="B139" s="5" t="n">
        <x:v>1</x:v>
      </x:c>
      <x:c r="C139" s="5" t="n">
        <x:v>0</x:v>
      </x:c>
      <x:c r="D139" s="6" t="str">
        <x:v>FOGAO ESMALTEC 4BCS IDEAL POP</x:v>
      </x:c>
      <x:c r="E139" s="5"/>
      <x:c r="F139" s="5"/>
      <x:c r="G139" s="10"/>
      <x:c r="H139" s="5"/>
      <x:c r="I139" s="5"/>
      <x:c r="J139" s="10"/>
      <x:c r="K139" s="10"/>
      <x:c r="L139" s="10"/>
      <x:c r="M139" s="5"/>
      <x:c r="N139" s="10"/>
      <x:c r="O139" s="7" t="n">
        <x:f t="shared" si="1">SUM(E139:N139)</x:f>
        <x:v>0</x:v>
      </x:c>
      <x:c r="P139" s="7" t="n">
        <x:v>711</x:v>
      </x:c>
      <x:c r="Q139" s="12" t="n">
        <x:f t="shared" si="3">O139-P139</x:f>
        <x:v>-711</x:v>
      </x:c>
      <x:c r="R139" s="16"/>
      <x:c r="S139" s="12"/>
      <x:c r="T139" s="13"/>
      <x:c r="U139" s="13"/>
    </x:row>
    <x:row r="140">
      <x:c r="A140" s="5" t="n">
        <x:v>73700</x:v>
      </x:c>
      <x:c r="B140" s="5" t="n">
        <x:v>3</x:v>
      </x:c>
      <x:c r="C140" s="5" t="n">
        <x:v>0</x:v>
      </x:c>
      <x:c r="D140" s="6" t="str">
        <x:v>FOGAO ESMALTEC 4BCS IDEAL POP</x:v>
      </x:c>
      <x:c r="E140" s="5"/>
      <x:c r="F140" s="5"/>
      <x:c r="G140" s="10"/>
      <x:c r="H140" s="5"/>
      <x:c r="I140" s="5"/>
      <x:c r="J140" s="10"/>
      <x:c r="K140" s="10"/>
      <x:c r="L140" s="5" t="n">
        <x:v>3</x:v>
      </x:c>
      <x:c r="M140" s="5"/>
      <x:c r="N140" s="5"/>
      <x:c r="O140" s="7" t="n">
        <x:f t="shared" si="1">SUM(E140:N140)</x:f>
        <x:v>3</x:v>
      </x:c>
      <x:c r="P140" s="7" t="n">
        <x:v>215</x:v>
      </x:c>
      <x:c r="Q140" s="12" t="n">
        <x:f t="shared" si="3">O140-P140</x:f>
        <x:v>-212</x:v>
      </x:c>
      <x:c r="R140" s="16"/>
      <x:c r="S140" s="12"/>
      <x:c r="T140" s="13"/>
      <x:c r="U140" s="13"/>
    </x:row>
    <x:row r="141">
      <x:c r="A141" s="5" t="n">
        <x:v>73703</x:v>
      </x:c>
      <x:c r="B141" s="5" t="n">
        <x:v>1</x:v>
      </x:c>
      <x:c r="C141" s="5" t="n">
        <x:v>2</x:v>
      </x:c>
      <x:c r="D141" s="6" t="str">
        <x:v>SPLIT PHILCO PAC12000BTUS ECO INVERTER FRIO PAC12FC</x:v>
      </x:c>
      <x:c r="E141" s="10"/>
      <x:c r="F141" s="10"/>
      <x:c r="G141" s="10"/>
      <x:c r="H141" s="5"/>
      <x:c r="I141" s="5"/>
      <x:c r="J141" s="10"/>
      <x:c r="K141" s="10"/>
      <x:c r="L141" s="10"/>
      <x:c r="M141" s="10"/>
      <x:c r="N141" s="10"/>
      <x:c r="O141" s="7" t="n">
        <x:f t="shared" si="1">SUM(E141:N141)</x:f>
        <x:v>0</x:v>
      </x:c>
      <x:c r="P141" s="7" t="n">
        <x:v>78</x:v>
      </x:c>
      <x:c r="Q141" s="12" t="n">
        <x:f t="shared" si="3">O141-P141</x:f>
        <x:v>-78</x:v>
      </x:c>
      <x:c r="R141" s="13"/>
      <x:c r="S141" s="12"/>
      <x:c r="T141" s="13"/>
      <x:c r="U141" s="13"/>
    </x:row>
    <x:row r="142">
      <x:c r="A142" s="5" t="n">
        <x:v>73724</x:v>
      </x:c>
      <x:c r="B142" s="5" t="n">
        <x:v>3</x:v>
      </x:c>
      <x:c r="C142" s="5" t="n">
        <x:v>4</x:v>
      </x:c>
      <x:c r="D142" s="6" t="str">
        <x:v>CAIXA DE SOM AIWA BOOMBOX AWS-BBS01B</x:v>
      </x:c>
      <x:c r="E142" s="25"/>
      <x:c r="F142" s="24"/>
      <x:c r="G142" s="24"/>
      <x:c r="H142" s="24"/>
      <x:c r="I142" s="25"/>
      <x:c r="J142" s="24"/>
      <x:c r="K142" s="24"/>
      <x:c r="L142" s="24"/>
      <x:c r="M142" s="24"/>
      <x:c r="N142" s="24"/>
      <x:c r="O142" s="26" t="n">
        <x:f t="shared" si="1">SUM(E142:N142)</x:f>
        <x:v>0</x:v>
      </x:c>
      <x:c r="P142" s="26" t="n">
        <x:v>37</x:v>
      </x:c>
      <x:c r="Q142" s="27" t="n">
        <x:f t="shared" si="3">O142-P142</x:f>
        <x:v>-37</x:v>
      </x:c>
      <x:c r="R142" s="16"/>
      <x:c r="S142" s="12"/>
      <x:c r="T142" s="13"/>
      <x:c r="U142" s="13"/>
    </x:row>
    <x:row r="143">
      <x:c r="A143" s="5" t="n">
        <x:v>73932</x:v>
      </x:c>
      <x:c r="B143" s="5" t="n">
        <x:v>1</x:v>
      </x:c>
      <x:c r="C143" s="5" t="n">
        <x:v>2</x:v>
      </x:c>
      <x:c r="D143" s="6" t="str">
        <x:v>SPLIT MIDEA 12000 INVERTER FRIO 38TVCI12S5</x:v>
      </x:c>
      <x:c r="E143" s="10"/>
      <x:c r="F143" s="10"/>
      <x:c r="G143" s="10"/>
      <x:c r="H143" s="10"/>
      <x:c r="I143" s="5"/>
      <x:c r="J143" s="10"/>
      <x:c r="K143" s="10"/>
      <x:c r="L143" s="10"/>
      <x:c r="M143" s="10"/>
      <x:c r="N143" s="10"/>
      <x:c r="O143" s="7" t="n">
        <x:f t="shared" si="1">SUM(E143:N143)</x:f>
        <x:v>0</x:v>
      </x:c>
      <x:c r="P143" s="7" t="n">
        <x:v>3</x:v>
      </x:c>
      <x:c r="Q143" s="12" t="n">
        <x:f t="shared" si="3">O143-P143</x:f>
        <x:v>-3</x:v>
      </x:c>
      <x:c r="R143" s="13"/>
      <x:c r="S143" s="12"/>
      <x:c r="T143" s="13"/>
      <x:c r="U143" s="13"/>
    </x:row>
    <x:row r="144">
      <x:c r="A144" s="5" t="n">
        <x:v>74265</x:v>
      </x:c>
      <x:c r="B144" s="5" t="n">
        <x:v>4</x:v>
      </x:c>
      <x:c r="C144" s="5" t="n">
        <x:v>2</x:v>
      </x:c>
      <x:c r="D144" s="6" t="str">
        <x:v>REFRIGERADOR MIDEA F.FREE DUPLEX MD-RT572 425L</x:v>
      </x:c>
      <x:c r="E144" s="10"/>
      <x:c r="F144" s="10"/>
      <x:c r="G144" s="10"/>
      <x:c r="H144" s="10"/>
      <x:c r="I144" s="5"/>
      <x:c r="J144" s="10"/>
      <x:c r="K144" s="10"/>
      <x:c r="L144" s="10"/>
      <x:c r="M144" s="10"/>
      <x:c r="N144" s="10"/>
      <x:c r="O144" s="7" t="n">
        <x:f t="shared" si="1">SUM(E144:N144)</x:f>
        <x:v>0</x:v>
      </x:c>
      <x:c r="P144" s="7" t="n">
        <x:v>73</x:v>
      </x:c>
      <x:c r="Q144" s="12" t="n">
        <x:f t="shared" si="3">O144-P144</x:f>
        <x:v>-73</x:v>
      </x:c>
      <x:c r="R144" s="13"/>
      <x:c r="S144" s="12"/>
      <x:c r="T144" s="13"/>
      <x:c r="U144" s="13"/>
    </x:row>
    <x:row r="145">
      <x:c r="A145" s="5" t="n">
        <x:v>74266</x:v>
      </x:c>
      <x:c r="B145" s="5" t="n">
        <x:v>1</x:v>
      </x:c>
      <x:c r="C145" s="5" t="n">
        <x:v>2</x:v>
      </x:c>
      <x:c r="D145" s="6" t="str">
        <x:v>LAVADORA MIDEA WAVE AGITADOR 15KG</x:v>
      </x:c>
      <x:c r="E145" s="10"/>
      <x:c r="F145" s="10"/>
      <x:c r="G145" s="10"/>
      <x:c r="H145" s="5"/>
      <x:c r="I145" s="5"/>
      <x:c r="J145" s="10"/>
      <x:c r="K145" s="10"/>
      <x:c r="L145" s="5" t="n">
        <x:v>3</x:v>
      </x:c>
      <x:c r="M145" s="5"/>
      <x:c r="N145" s="10"/>
      <x:c r="O145" s="7" t="n">
        <x:f t="shared" si="1">SUM(E145:N145)</x:f>
        <x:v>3</x:v>
      </x:c>
      <x:c r="P145" s="7" t="n">
        <x:v>146</x:v>
      </x:c>
      <x:c r="Q145" s="12" t="n">
        <x:f t="shared" si="3">O145-P145</x:f>
        <x:v>-143</x:v>
      </x:c>
      <x:c r="R145" s="13"/>
      <x:c r="S145" s="12"/>
      <x:c r="T145" s="13"/>
      <x:c r="U145" s="13"/>
    </x:row>
    <x:row r="146">
      <x:c r="A146" s="5" t="n">
        <x:v>74266</x:v>
      </x:c>
      <x:c r="B146" s="5" t="n">
        <x:v>1</x:v>
      </x:c>
      <x:c r="C146" s="5" t="n">
        <x:v>3</x:v>
      </x:c>
      <x:c r="D146" s="6" t="str">
        <x:v>LAVADORA MIDEA WAVE AGITADOR 15KG</x:v>
      </x:c>
      <x:c r="E146" s="10"/>
      <x:c r="F146" s="10"/>
      <x:c r="G146" s="10"/>
      <x:c r="H146" s="10"/>
      <x:c r="I146" s="5"/>
      <x:c r="J146" s="10"/>
      <x:c r="K146" s="10"/>
      <x:c r="L146" s="10"/>
      <x:c r="M146" s="10"/>
      <x:c r="N146" s="10"/>
      <x:c r="O146" s="7" t="n">
        <x:f t="shared" si="1">SUM(E146:N146)</x:f>
        <x:v>0</x:v>
      </x:c>
      <x:c r="P146" s="7" t="n">
        <x:v>2</x:v>
      </x:c>
      <x:c r="Q146" s="12" t="n">
        <x:f t="shared" si="3">O146-P146</x:f>
        <x:v>-2</x:v>
      </x:c>
      <x:c r="R146" s="13"/>
      <x:c r="S146" s="12"/>
      <x:c r="T146" s="13"/>
      <x:c r="U146" s="13"/>
    </x:row>
    <x:row r="147">
      <x:c r="A147" s="5" t="n">
        <x:v>74269</x:v>
      </x:c>
      <x:c r="B147" s="5" t="n">
        <x:v>3</x:v>
      </x:c>
      <x:c r="C147" s="5" t="n">
        <x:v>3</x:v>
      </x:c>
      <x:c r="D147" s="6" t="str">
        <x:v>FRITADEIRA MONDIAL AIR FRYER 3,5L AF35 BF</x:v>
      </x:c>
      <x:c r="E147" s="10"/>
      <x:c r="F147" s="10"/>
      <x:c r="G147" s="10"/>
      <x:c r="H147" s="10"/>
      <x:c r="I147" s="5"/>
      <x:c r="J147" s="10"/>
      <x:c r="K147" s="10"/>
      <x:c r="L147" s="10"/>
      <x:c r="M147" s="10"/>
      <x:c r="N147" s="10"/>
      <x:c r="O147" s="7" t="n">
        <x:f t="shared" si="1">SUM(E147:N147)</x:f>
        <x:v>0</x:v>
      </x:c>
      <x:c r="P147" s="7" t="n">
        <x:v>152</x:v>
      </x:c>
      <x:c r="Q147" s="12" t="n">
        <x:f t="shared" si="3">O147-P147</x:f>
        <x:v>-152</x:v>
      </x:c>
      <x:c r="R147" s="13"/>
      <x:c r="S147" s="12"/>
      <x:c r="T147" s="13"/>
      <x:c r="U147" s="13"/>
    </x:row>
    <x:row r="148">
      <x:c r="A148" s="5" t="n">
        <x:v>74271</x:v>
      </x:c>
      <x:c r="B148" s="5" t="n">
        <x:v>9</x:v>
      </x:c>
      <x:c r="C148" s="5" t="n">
        <x:v>3</x:v>
      </x:c>
      <x:c r="D148" s="6" t="str">
        <x:v>LIQUIDIFICADOR MONDIAL EASY POWER L-550-R</x:v>
      </x:c>
      <x:c r="E148" s="10"/>
      <x:c r="F148" s="10"/>
      <x:c r="G148" s="10"/>
      <x:c r="H148" s="10"/>
      <x:c r="I148" s="5"/>
      <x:c r="J148" s="10"/>
      <x:c r="K148" s="10"/>
      <x:c r="L148" s="10"/>
      <x:c r="M148" s="10"/>
      <x:c r="N148" s="10"/>
      <x:c r="O148" s="7" t="n">
        <x:f t="shared" si="1">SUM(E148:N148)</x:f>
        <x:v>0</x:v>
      </x:c>
      <x:c r="P148" s="7" t="n">
        <x:v>1</x:v>
      </x:c>
      <x:c r="Q148" s="12" t="n">
        <x:f t="shared" si="3">O148-P148</x:f>
        <x:v>-1</x:v>
      </x:c>
      <x:c r="R148" s="13"/>
      <x:c r="S148" s="7" t="n">
        <x:v>2</x:v>
      </x:c>
      <x:c r="T148" s="13"/>
      <x:c r="U148" s="13"/>
    </x:row>
    <x:row r="149">
      <x:c r="A149" s="5" t="n">
        <x:v>74272</x:v>
      </x:c>
      <x:c r="B149" s="5" t="n">
        <x:v>3</x:v>
      </x:c>
      <x:c r="C149" s="5" t="n">
        <x:v>2</x:v>
      </x:c>
      <x:c r="D149" s="6" t="str">
        <x:v>BATEDEIRA ULTRA B-11</x:v>
      </x:c>
      <x:c r="E149" s="10"/>
      <x:c r="F149" s="10"/>
      <x:c r="G149" s="10"/>
      <x:c r="H149" s="10"/>
      <x:c r="I149" s="5"/>
      <x:c r="J149" s="10"/>
      <x:c r="K149" s="10"/>
      <x:c r="L149" s="10"/>
      <x:c r="M149" s="10"/>
      <x:c r="N149" s="10"/>
      <x:c r="O149" s="7" t="n">
        <x:f t="shared" si="1">SUM(E149:N149)</x:f>
        <x:v>0</x:v>
      </x:c>
      <x:c r="P149" s="7" t="n">
        <x:v>1</x:v>
      </x:c>
      <x:c r="Q149" s="12" t="n">
        <x:f t="shared" si="3">O149-P149</x:f>
        <x:v>-1</x:v>
      </x:c>
      <x:c r="R149" s="13"/>
      <x:c r="S149" s="12"/>
      <x:c r="T149" s="13"/>
      <x:c r="U149" s="13"/>
    </x:row>
    <x:row r="150">
      <x:c r="A150" s="5" t="n">
        <x:v>74272</x:v>
      </x:c>
      <x:c r="B150" s="5" t="n">
        <x:v>3</x:v>
      </x:c>
      <x:c r="C150" s="5" t="n">
        <x:v>3</x:v>
      </x:c>
      <x:c r="D150" s="6" t="str">
        <x:v>BATEDEIRA ULTRA B-11</x:v>
      </x:c>
      <x:c r="E150" s="10"/>
      <x:c r="F150" s="10"/>
      <x:c r="G150" s="10"/>
      <x:c r="H150" s="10"/>
      <x:c r="I150" s="5"/>
      <x:c r="J150" s="10"/>
      <x:c r="K150" s="10"/>
      <x:c r="L150" s="10"/>
      <x:c r="M150" s="10"/>
      <x:c r="N150" s="10"/>
      <x:c r="O150" s="7" t="n">
        <x:f t="shared" si="1">SUM(E150:N150)</x:f>
        <x:v>0</x:v>
      </x:c>
      <x:c r="P150" s="7" t="n">
        <x:v>3</x:v>
      </x:c>
      <x:c r="Q150" s="12" t="n">
        <x:f t="shared" si="3">O150-P150</x:f>
        <x:v>-3</x:v>
      </x:c>
      <x:c r="R150" s="13"/>
      <x:c r="S150" s="12"/>
      <x:c r="T150" s="13"/>
      <x:c r="U150" s="13"/>
    </x:row>
    <x:row r="151">
      <x:c r="A151" s="5" t="n">
        <x:v>74280</x:v>
      </x:c>
      <x:c r="B151" s="5" t="n">
        <x:v>1</x:v>
      </x:c>
      <x:c r="C151" s="5" t="n">
        <x:v>2</x:v>
      </x:c>
      <x:c r="D151" s="6" t="str">
        <x:v>LAVADORA WANKE NEW CONFORT LWBE100T PB 10KG</x:v>
      </x:c>
      <x:c r="E151" s="5"/>
      <x:c r="F151" s="5"/>
      <x:c r="G151" s="10"/>
      <x:c r="H151" s="5"/>
      <x:c r="I151" s="5"/>
      <x:c r="J151" s="10"/>
      <x:c r="K151" s="10"/>
      <x:c r="L151" s="5" t="n">
        <x:v>4</x:v>
      </x:c>
      <x:c r="M151" s="5"/>
      <x:c r="N151" s="5"/>
      <x:c r="O151" s="7" t="n">
        <x:f t="shared" si="1">SUM(E151:N151)</x:f>
        <x:v>4</x:v>
      </x:c>
      <x:c r="P151" s="7" t="n">
        <x:v>322</x:v>
      </x:c>
      <x:c r="Q151" s="12" t="n">
        <x:f t="shared" si="3">O151-P151</x:f>
        <x:v>-318</x:v>
      </x:c>
      <x:c r="R151" s="13"/>
      <x:c r="S151" s="7" t="n">
        <x:v>1</x:v>
      </x:c>
      <x:c r="T151" s="13"/>
      <x:c r="U151" s="13"/>
    </x:row>
    <x:row r="152">
      <x:c r="A152" s="5" t="n">
        <x:v>74280</x:v>
      </x:c>
      <x:c r="B152" s="5" t="n">
        <x:v>1</x:v>
      </x:c>
      <x:c r="C152" s="5" t="n">
        <x:v>3</x:v>
      </x:c>
      <x:c r="D152" s="6" t="str">
        <x:v>LAVADORA WANKE NEW CONFORT LWBE100T PB 10KG</x:v>
      </x:c>
      <x:c r="E152" s="5"/>
      <x:c r="F152" s="5"/>
      <x:c r="G152" s="10"/>
      <x:c r="H152" s="5"/>
      <x:c r="I152" s="5"/>
      <x:c r="J152" s="10"/>
      <x:c r="K152" s="10"/>
      <x:c r="L152" s="10"/>
      <x:c r="M152" s="10"/>
      <x:c r="N152" s="10"/>
      <x:c r="O152" s="7" t="n">
        <x:f t="shared" si="1">SUM(E152:N152)</x:f>
        <x:v>0</x:v>
      </x:c>
      <x:c r="P152" s="7" t="n">
        <x:v>262</x:v>
      </x:c>
      <x:c r="Q152" s="12" t="n">
        <x:f t="shared" si="3">O152-P152</x:f>
        <x:v>-262</x:v>
      </x:c>
      <x:c r="R152" s="16"/>
      <x:c r="S152" s="12"/>
      <x:c r="T152" s="13"/>
      <x:c r="U152" s="13"/>
    </x:row>
    <x:row r="153">
      <x:c r="A153" s="5" t="n">
        <x:v>74280</x:v>
      </x:c>
      <x:c r="B153" s="5" t="n">
        <x:v>3</x:v>
      </x:c>
      <x:c r="C153" s="5" t="n">
        <x:v>2</x:v>
      </x:c>
      <x:c r="D153" s="6" t="str">
        <x:v>LAVADORA WANKE NEW CONFORT LWBE100T PB 10KG</x:v>
      </x:c>
      <x:c r="E153" s="5"/>
      <x:c r="F153" s="5"/>
      <x:c r="G153" s="10"/>
      <x:c r="H153" s="5"/>
      <x:c r="I153" s="5"/>
      <x:c r="J153" s="10"/>
      <x:c r="K153" s="10"/>
      <x:c r="L153" s="5" t="n">
        <x:v>2</x:v>
      </x:c>
      <x:c r="M153" s="10"/>
      <x:c r="N153" s="10"/>
      <x:c r="O153" s="7" t="n">
        <x:f t="shared" si="1">SUM(E153:N153)</x:f>
        <x:v>2</x:v>
      </x:c>
      <x:c r="P153" s="7" t="n">
        <x:v>178</x:v>
      </x:c>
      <x:c r="Q153" s="12" t="n">
        <x:f t="shared" si="3">O153-P153</x:f>
        <x:v>-176</x:v>
      </x:c>
      <x:c r="R153" s="16"/>
      <x:c r="S153" s="7" t="n">
        <x:v>29</x:v>
      </x:c>
      <x:c r="T153" s="13"/>
      <x:c r="U153" s="13"/>
    </x:row>
    <x:row r="154">
      <x:c r="A154" s="5" t="n">
        <x:v>74280</x:v>
      </x:c>
      <x:c r="B154" s="5" t="n">
        <x:v>3</x:v>
      </x:c>
      <x:c r="C154" s="5" t="n">
        <x:v>3</x:v>
      </x:c>
      <x:c r="D154" s="6" t="str">
        <x:v>LAVADORA WANKE NEW CONFORT LWBE100T PB 10KG</x:v>
      </x:c>
      <x:c r="E154" s="10"/>
      <x:c r="F154" s="10"/>
      <x:c r="G154" s="10"/>
      <x:c r="H154" s="5"/>
      <x:c r="I154" s="5"/>
      <x:c r="J154" s="10"/>
      <x:c r="K154" s="10"/>
      <x:c r="L154" s="10"/>
      <x:c r="M154" s="10"/>
      <x:c r="N154" s="10"/>
      <x:c r="O154" s="7" t="n">
        <x:f t="shared" si="1">SUM(E154:N154)</x:f>
        <x:v>0</x:v>
      </x:c>
      <x:c r="P154" s="7" t="n">
        <x:v>221</x:v>
      </x:c>
      <x:c r="Q154" s="12" t="n">
        <x:f t="shared" si="3">O154-P154</x:f>
        <x:v>-221</x:v>
      </x:c>
      <x:c r="R154" s="13"/>
      <x:c r="S154" s="12"/>
      <x:c r="T154" s="13"/>
      <x:c r="U154" s="13"/>
    </x:row>
    <x:row r="155">
      <x:c r="A155" s="5" t="n">
        <x:v>74284</x:v>
      </x:c>
      <x:c r="B155" s="5" t="n">
        <x:v>1</x:v>
      </x:c>
      <x:c r="C155" s="5" t="n">
        <x:v>2</x:v>
      </x:c>
      <x:c r="D155" s="6" t="str">
        <x:v>LAVADORA SUGGAR LAVAMAX ECO LE20 20KG</x:v>
      </x:c>
      <x:c r="E155" s="10"/>
      <x:c r="F155" s="10"/>
      <x:c r="G155" s="10"/>
      <x:c r="H155" s="5"/>
      <x:c r="I155" s="5"/>
      <x:c r="J155" s="10"/>
      <x:c r="K155" s="10"/>
      <x:c r="L155" s="10"/>
      <x:c r="M155" s="10"/>
      <x:c r="N155" s="10"/>
      <x:c r="O155" s="7" t="n">
        <x:f t="shared" si="1">SUM(E155:N155)</x:f>
        <x:v>0</x:v>
      </x:c>
      <x:c r="P155" s="7" t="n">
        <x:v>126</x:v>
      </x:c>
      <x:c r="Q155" s="12" t="n">
        <x:f t="shared" si="3">O155-P155</x:f>
        <x:v>-126</x:v>
      </x:c>
      <x:c r="R155" s="13"/>
      <x:c r="S155" s="12"/>
      <x:c r="T155" s="13"/>
      <x:c r="U155" s="13"/>
    </x:row>
    <x:row r="156">
      <x:c r="A156" s="5" t="n">
        <x:v>74284</x:v>
      </x:c>
      <x:c r="B156" s="5" t="n">
        <x:v>1</x:v>
      </x:c>
      <x:c r="C156" s="5" t="n">
        <x:v>3</x:v>
      </x:c>
      <x:c r="D156" s="6" t="str">
        <x:v>LAVADORA SUGGAR LAVAMAX ECO LE20 20KG</x:v>
      </x:c>
      <x:c r="E156" s="5"/>
      <x:c r="F156" s="5"/>
      <x:c r="G156" s="10"/>
      <x:c r="H156" s="10"/>
      <x:c r="I156" s="5"/>
      <x:c r="J156" s="5"/>
      <x:c r="K156" s="10"/>
      <x:c r="L156" s="10"/>
      <x:c r="M156" s="10"/>
      <x:c r="N156" s="10"/>
      <x:c r="O156" s="7" t="n">
        <x:f t="shared" si="1">SUM(E156:N156)</x:f>
        <x:v>0</x:v>
      </x:c>
      <x:c r="P156" s="7" t="n">
        <x:v>31</x:v>
      </x:c>
      <x:c r="Q156" s="12" t="n">
        <x:f t="shared" si="3">O156-P156</x:f>
        <x:v>-31</x:v>
      </x:c>
      <x:c r="R156" s="13"/>
      <x:c r="S156" s="12"/>
      <x:c r="T156" s="13"/>
      <x:c r="U156" s="13"/>
    </x:row>
    <x:row r="157">
      <x:c r="A157" s="5" t="n">
        <x:v>74284</x:v>
      </x:c>
      <x:c r="B157" s="5" t="n">
        <x:v>3</x:v>
      </x:c>
      <x:c r="C157" s="5" t="n">
        <x:v>2</x:v>
      </x:c>
      <x:c r="D157" s="6" t="str">
        <x:v>LAVADORA SUGGAR LAVAMAX ECO LE20 20KG</x:v>
      </x:c>
      <x:c r="E157" s="5"/>
      <x:c r="F157" s="5"/>
      <x:c r="G157" s="10"/>
      <x:c r="H157" s="5"/>
      <x:c r="I157" s="5"/>
      <x:c r="J157" s="10"/>
      <x:c r="K157" s="10"/>
      <x:c r="L157" s="10"/>
      <x:c r="M157" s="10"/>
      <x:c r="N157" s="10"/>
      <x:c r="O157" s="7" t="n">
        <x:f t="shared" si="1">SUM(E157:N157)</x:f>
        <x:v>0</x:v>
      </x:c>
      <x:c r="P157" s="7" t="n">
        <x:v>145</x:v>
      </x:c>
      <x:c r="Q157" s="12" t="n">
        <x:f t="shared" si="3">O157-P157</x:f>
        <x:v>-145</x:v>
      </x:c>
      <x:c r="R157" s="16"/>
      <x:c r="S157" s="12"/>
      <x:c r="T157" s="13"/>
      <x:c r="U157" s="13"/>
    </x:row>
    <x:row r="158">
      <x:c r="A158" s="5" t="n">
        <x:v>74284</x:v>
      </x:c>
      <x:c r="B158" s="5" t="n">
        <x:v>3</x:v>
      </x:c>
      <x:c r="C158" s="5" t="n">
        <x:v>3</x:v>
      </x:c>
      <x:c r="D158" s="6" t="str">
        <x:v>LAVADORA SUGGAR LAVAMAX ECO LE20 20KG</x:v>
      </x:c>
      <x:c r="E158" s="10"/>
      <x:c r="F158" s="10"/>
      <x:c r="G158" s="10"/>
      <x:c r="H158" s="5"/>
      <x:c r="I158" s="5"/>
      <x:c r="J158" s="10"/>
      <x:c r="K158" s="10"/>
      <x:c r="L158" s="10"/>
      <x:c r="M158" s="10"/>
      <x:c r="N158" s="10"/>
      <x:c r="O158" s="7" t="n">
        <x:f t="shared" si="1">SUM(E158:N158)</x:f>
        <x:v>0</x:v>
      </x:c>
      <x:c r="P158" s="7" t="n">
        <x:v>10</x:v>
      </x:c>
      <x:c r="Q158" s="12" t="n">
        <x:f t="shared" si="3">O158-P158</x:f>
        <x:v>-10</x:v>
      </x:c>
      <x:c r="R158" s="13"/>
      <x:c r="S158" s="12"/>
      <x:c r="T158" s="13"/>
      <x:c r="U158" s="13"/>
    </x:row>
    <x:row r="159">
      <x:c r="A159" s="5" t="n">
        <x:v>74313</x:v>
      </x:c>
      <x:c r="B159" s="5" t="n">
        <x:v>1</x:v>
      </x:c>
      <x:c r="C159" s="5" t="n">
        <x:v>2</x:v>
      </x:c>
      <x:c r="D159" s="6" t="str">
        <x:v>LAVADORA WANKE NEW PREMIUM LWBE201T PB 20KG</x:v>
      </x:c>
      <x:c r="E159" s="24"/>
      <x:c r="F159" s="24"/>
      <x:c r="G159" s="24"/>
      <x:c r="H159" s="25"/>
      <x:c r="I159" s="25"/>
      <x:c r="J159" s="24"/>
      <x:c r="K159" s="24"/>
      <x:c r="L159" s="25"/>
      <x:c r="M159" s="25"/>
      <x:c r="N159" s="25"/>
      <x:c r="O159" s="26" t="n">
        <x:f t="shared" si="1">SUM(E159:N159)</x:f>
        <x:v>0</x:v>
      </x:c>
      <x:c r="P159" s="26" t="n">
        <x:v>145</x:v>
      </x:c>
      <x:c r="Q159" s="27" t="n">
        <x:f t="shared" si="3">O159-P159</x:f>
        <x:v>-145</x:v>
      </x:c>
      <x:c r="R159" s="13"/>
      <x:c r="S159" s="12"/>
      <x:c r="T159" s="13"/>
      <x:c r="U159" s="13"/>
    </x:row>
    <x:row r="160">
      <x:c r="A160" s="5" t="n">
        <x:v>74313</x:v>
      </x:c>
      <x:c r="B160" s="5" t="n">
        <x:v>1</x:v>
      </x:c>
      <x:c r="C160" s="5" t="n">
        <x:v>3</x:v>
      </x:c>
      <x:c r="D160" s="6" t="str">
        <x:v>LAVADORA WANKE NEW PREMIUM LWBE201T PB 20KG</x:v>
      </x:c>
      <x:c r="E160" s="5"/>
      <x:c r="F160" s="5"/>
      <x:c r="G160" s="10"/>
      <x:c r="H160" s="5"/>
      <x:c r="I160" s="5"/>
      <x:c r="J160" s="10"/>
      <x:c r="K160" s="10"/>
      <x:c r="L160" s="5" t="n">
        <x:v>3</x:v>
      </x:c>
      <x:c r="M160" s="10"/>
      <x:c r="N160" s="10"/>
      <x:c r="O160" s="7" t="n">
        <x:f t="shared" si="1">SUM(E160:N160)</x:f>
        <x:v>3</x:v>
      </x:c>
      <x:c r="P160" s="7" t="n">
        <x:v>144</x:v>
      </x:c>
      <x:c r="Q160" s="12" t="n">
        <x:f t="shared" si="3">O160-P160</x:f>
        <x:v>-141</x:v>
      </x:c>
      <x:c r="R160" s="16"/>
      <x:c r="S160" s="12"/>
      <x:c r="T160" s="13"/>
      <x:c r="U160" s="13"/>
    </x:row>
    <x:row r="161">
      <x:c r="A161" s="5" t="n">
        <x:v>74313</x:v>
      </x:c>
      <x:c r="B161" s="5" t="n">
        <x:v>3</x:v>
      </x:c>
      <x:c r="C161" s="5" t="n">
        <x:v>2</x:v>
      </x:c>
      <x:c r="D161" s="6" t="str">
        <x:v>LAVADORA WANKE NEW PREMIUM LWBE201T PB 20KG</x:v>
      </x:c>
      <x:c r="E161" s="10"/>
      <x:c r="F161" s="10"/>
      <x:c r="G161" s="10"/>
      <x:c r="H161" s="5"/>
      <x:c r="I161" s="5"/>
      <x:c r="J161" s="10"/>
      <x:c r="K161" s="10"/>
      <x:c r="L161" s="10"/>
      <x:c r="M161" s="10"/>
      <x:c r="N161" s="10"/>
      <x:c r="O161" s="7" t="n">
        <x:f t="shared" si="1">SUM(E161:N161)</x:f>
        <x:v>0</x:v>
      </x:c>
      <x:c r="P161" s="7" t="n">
        <x:v>118</x:v>
      </x:c>
      <x:c r="Q161" s="12" t="n">
        <x:f t="shared" si="3">O161-P161</x:f>
        <x:v>-118</x:v>
      </x:c>
      <x:c r="R161" s="13"/>
      <x:c r="S161" s="12"/>
      <x:c r="T161" s="13"/>
      <x:c r="U161" s="13"/>
    </x:row>
    <x:row r="162">
      <x:c r="A162" s="5" t="n">
        <x:v>74313</x:v>
      </x:c>
      <x:c r="B162" s="5" t="n">
        <x:v>3</x:v>
      </x:c>
      <x:c r="C162" s="5" t="n">
        <x:v>3</x:v>
      </x:c>
      <x:c r="D162" s="6" t="str">
        <x:v>LAVADORA WANKE NEW PREMIUM LWBE201T PB 20KG</x:v>
      </x:c>
      <x:c r="E162" s="10"/>
      <x:c r="F162" s="10"/>
      <x:c r="G162" s="10"/>
      <x:c r="H162" s="5"/>
      <x:c r="I162" s="5"/>
      <x:c r="J162" s="5"/>
      <x:c r="K162" s="10"/>
      <x:c r="L162" s="10"/>
      <x:c r="M162" s="10"/>
      <x:c r="N162" s="10"/>
      <x:c r="O162" s="7" t="n">
        <x:f t="shared" si="1">SUM(E162:N162)</x:f>
        <x:v>0</x:v>
      </x:c>
      <x:c r="P162" s="7" t="n">
        <x:v>55</x:v>
      </x:c>
      <x:c r="Q162" s="12" t="n">
        <x:f t="shared" si="3">O162-P162</x:f>
        <x:v>-55</x:v>
      </x:c>
      <x:c r="R162" s="16"/>
      <x:c r="S162" s="7"/>
      <x:c r="T162" s="16"/>
      <x:c r="U162" s="16"/>
    </x:row>
    <x:row r="163">
      <x:c r="A163" s="5" t="n">
        <x:v>74360</x:v>
      </x:c>
      <x:c r="B163" s="5" t="n">
        <x:v>3</x:v>
      </x:c>
      <x:c r="C163" s="5" t="n">
        <x:v>2</x:v>
      </x:c>
      <x:c r="D163" s="6" t="str">
        <x:v>FORNO ELETRICO MONDIAL 42L FR-42</x:v>
      </x:c>
      <x:c r="E163" s="24"/>
      <x:c r="F163" s="24"/>
      <x:c r="G163" s="24"/>
      <x:c r="H163" s="24"/>
      <x:c r="I163" s="25"/>
      <x:c r="J163" s="25"/>
      <x:c r="K163" s="24"/>
      <x:c r="L163" s="24"/>
      <x:c r="M163" s="24"/>
      <x:c r="N163" s="24"/>
      <x:c r="O163" s="26" t="n">
        <x:f t="shared" si="1">SUM(E163:N163)</x:f>
        <x:v>0</x:v>
      </x:c>
      <x:c r="P163" s="26" t="n">
        <x:v>7</x:v>
      </x:c>
      <x:c r="Q163" s="27" t="n">
        <x:f t="shared" si="3">O163-P163</x:f>
        <x:v>-7</x:v>
      </x:c>
      <x:c r="R163" s="16"/>
      <x:c r="S163" s="7"/>
      <x:c r="T163" s="16"/>
      <x:c r="U163" s="16"/>
    </x:row>
    <x:row r="164">
      <x:c r="A164" s="5" t="n">
        <x:v>74362</x:v>
      </x:c>
      <x:c r="B164" s="5" t="n">
        <x:v>3</x:v>
      </x:c>
      <x:c r="C164" s="5" t="n">
        <x:v>3</x:v>
      </x:c>
      <x:c r="D164" s="6" t="str">
        <x:v>VENTILADOR MESA ARNO 40CM VE60 X-TREME 6P 140W</x:v>
      </x:c>
      <x:c r="E164" s="10"/>
      <x:c r="F164" s="10"/>
      <x:c r="G164" s="10"/>
      <x:c r="H164" s="10"/>
      <x:c r="I164" s="5"/>
      <x:c r="J164" s="10"/>
      <x:c r="K164" s="10"/>
      <x:c r="L164" s="10"/>
      <x:c r="M164" s="10"/>
      <x:c r="N164" s="10"/>
      <x:c r="O164" s="7" t="n">
        <x:f t="shared" si="1">SUM(E164:N164)</x:f>
        <x:v>0</x:v>
      </x:c>
      <x:c r="P164" s="7" t="n">
        <x:v>2</x:v>
      </x:c>
      <x:c r="Q164" s="12" t="n">
        <x:f t="shared" si="3">O164-P164</x:f>
        <x:v>-2</x:v>
      </x:c>
      <x:c r="R164" s="13"/>
      <x:c r="S164" s="12"/>
      <x:c r="T164" s="13"/>
      <x:c r="U164" s="13"/>
    </x:row>
    <x:row r="165">
      <x:c r="A165" s="5" t="n">
        <x:v>74363</x:v>
      </x:c>
      <x:c r="B165" s="5" t="n">
        <x:v>3</x:v>
      </x:c>
      <x:c r="C165" s="5" t="n">
        <x:v>2</x:v>
      </x:c>
      <x:c r="D165" s="6" t="str">
        <x:v>VENTILADOR COLUNA ARNO 40CM VE6C X-TREME 6P 140W</x:v>
      </x:c>
      <x:c r="E165" s="10"/>
      <x:c r="F165" s="10"/>
      <x:c r="G165" s="10"/>
      <x:c r="H165" s="5"/>
      <x:c r="I165" s="5"/>
      <x:c r="J165" s="10"/>
      <x:c r="K165" s="10"/>
      <x:c r="L165" s="5" t="n">
        <x:v>1</x:v>
      </x:c>
      <x:c r="M165" s="5"/>
      <x:c r="N165" s="5"/>
      <x:c r="O165" s="7" t="n">
        <x:f t="shared" si="1">SUM(E165:N165)</x:f>
        <x:v>1</x:v>
      </x:c>
      <x:c r="P165" s="7" t="n">
        <x:v>177</x:v>
      </x:c>
      <x:c r="Q165" s="12" t="n">
        <x:f t="shared" si="3">O165-P165</x:f>
        <x:v>-176</x:v>
      </x:c>
      <x:c r="R165" s="16"/>
      <x:c r="S165" s="7"/>
      <x:c r="T165" s="16"/>
      <x:c r="U165" s="16"/>
    </x:row>
    <x:row r="166">
      <x:c r="A166" s="5" t="n">
        <x:v>74380</x:v>
      </x:c>
      <x:c r="B166" s="5" t="n">
        <x:v>3</x:v>
      </x:c>
      <x:c r="C166" s="5" t="n">
        <x:v>4</x:v>
      </x:c>
      <x:c r="D166" s="6" t="str">
        <x:v>TV 32" SAMSUNG SMART HD HDR UN32H5000FGXZD</x:v>
      </x:c>
      <x:c r="E166" s="10"/>
      <x:c r="F166" s="10"/>
      <x:c r="G166" s="10"/>
      <x:c r="H166" s="10"/>
      <x:c r="I166" s="5"/>
      <x:c r="J166" s="10"/>
      <x:c r="K166" s="10"/>
      <x:c r="L166" s="10"/>
      <x:c r="M166" s="10"/>
      <x:c r="N166" s="10"/>
      <x:c r="O166" s="7" t="n">
        <x:f t="shared" si="1">SUM(E166:N166)</x:f>
        <x:v>0</x:v>
      </x:c>
      <x:c r="P166" s="7" t="n">
        <x:v>369</x:v>
      </x:c>
      <x:c r="Q166" s="12" t="n">
        <x:f t="shared" si="3">O166-P166</x:f>
        <x:v>-369</x:v>
      </x:c>
      <x:c r="R166" s="13"/>
      <x:c r="S166" s="12"/>
      <x:c r="T166" s="13"/>
      <x:c r="U166" s="13"/>
    </x:row>
    <x:row r="167">
      <x:c r="A167" s="5" t="n">
        <x:v>74384</x:v>
      </x:c>
      <x:c r="B167" s="5" t="n">
        <x:v>3</x:v>
      </x:c>
      <x:c r="C167" s="5" t="n">
        <x:v>4</x:v>
      </x:c>
      <x:c r="D167" s="6" t="str">
        <x:v>TV 65" SAMSUNG SMART UHD 4K GAMING ALEXA UN65U8600FGXZ</x:v>
      </x:c>
      <x:c r="E167" s="10"/>
      <x:c r="F167" s="10"/>
      <x:c r="G167" s="10"/>
      <x:c r="H167" s="5"/>
      <x:c r="I167" s="5"/>
      <x:c r="J167" s="10"/>
      <x:c r="K167" s="10"/>
      <x:c r="L167" s="10"/>
      <x:c r="M167" s="10"/>
      <x:c r="N167" s="10"/>
      <x:c r="O167" s="7" t="n">
        <x:f t="shared" si="1">SUM(E167:N167)</x:f>
        <x:v>0</x:v>
      </x:c>
      <x:c r="P167" s="7" t="n">
        <x:v>94</x:v>
      </x:c>
      <x:c r="Q167" s="12" t="n">
        <x:f t="shared" si="3">O167-P167</x:f>
        <x:v>-94</x:v>
      </x:c>
      <x:c r="R167" s="16"/>
      <x:c r="S167" s="7"/>
      <x:c r="T167" s="16"/>
      <x:c r="U167" s="16"/>
    </x:row>
    <x:row r="168">
      <x:c r="A168" s="5" t="n">
        <x:v>74559</x:v>
      </x:c>
      <x:c r="B168" s="5" t="n">
        <x:v>1</x:v>
      </x:c>
      <x:c r="C168" s="5" t="n">
        <x:v>2</x:v>
      </x:c>
      <x:c r="D168" s="6" t="str">
        <x:v>REFRIGERADOR CONSUL CRA30MB 263L</x:v>
      </x:c>
      <x:c r="E168" s="10"/>
      <x:c r="F168" s="10"/>
      <x:c r="G168" s="10"/>
      <x:c r="H168" s="5"/>
      <x:c r="I168" s="5"/>
      <x:c r="J168" s="10"/>
      <x:c r="K168" s="10"/>
      <x:c r="L168" s="10"/>
      <x:c r="M168" s="10"/>
      <x:c r="N168" s="5"/>
      <x:c r="O168" s="7" t="n">
        <x:f t="shared" si="1">SUM(E168:N168)</x:f>
        <x:v>0</x:v>
      </x:c>
      <x:c r="P168" s="7" t="n">
        <x:v>125</x:v>
      </x:c>
      <x:c r="Q168" s="12" t="n">
        <x:f t="shared" si="3">O168-P168</x:f>
        <x:v>-125</x:v>
      </x:c>
      <x:c r="R168" s="16"/>
      <x:c r="S168" s="7"/>
      <x:c r="T168" s="16"/>
      <x:c r="U168" s="16"/>
    </x:row>
    <x:row r="169">
      <x:c r="A169" s="5" t="n">
        <x:v>74559</x:v>
      </x:c>
      <x:c r="B169" s="5" t="n">
        <x:v>1</x:v>
      </x:c>
      <x:c r="C169" s="5" t="n">
        <x:v>3</x:v>
      </x:c>
      <x:c r="D169" s="6" t="str">
        <x:v>REFRIGERADOR CONSUL CRA30MB 263L</x:v>
      </x:c>
      <x:c r="E169" s="10"/>
      <x:c r="F169" s="10"/>
      <x:c r="G169" s="10"/>
      <x:c r="H169" s="10"/>
      <x:c r="I169" s="5"/>
      <x:c r="J169" s="10"/>
      <x:c r="K169" s="10"/>
      <x:c r="L169" s="10"/>
      <x:c r="M169" s="10"/>
      <x:c r="N169" s="10"/>
      <x:c r="O169" s="7" t="n">
        <x:f t="shared" si="1">SUM(E169:N169)</x:f>
        <x:v>0</x:v>
      </x:c>
      <x:c r="P169" s="7" t="n">
        <x:v>1</x:v>
      </x:c>
      <x:c r="Q169" s="12" t="n">
        <x:f t="shared" si="3">O169-P169</x:f>
        <x:v>-1</x:v>
      </x:c>
      <x:c r="R169" s="13"/>
      <x:c r="S169" s="12"/>
      <x:c r="T169" s="13"/>
      <x:c r="U169" s="13"/>
    </x:row>
    <x:row r="170">
      <x:c r="A170" s="5" t="n">
        <x:v>74641</x:v>
      </x:c>
      <x:c r="B170" s="5" t="n">
        <x:v>242</x:v>
      </x:c>
      <x:c r="C170" s="5" t="n">
        <x:v>2</x:v>
      </x:c>
      <x:c r="D170" s="6" t="str">
        <x:v>MICRO-ONDAS MIDEA MXSA27 27L</x:v>
      </x:c>
      <x:c r="E170" s="10"/>
      <x:c r="F170" s="10"/>
      <x:c r="G170" s="10"/>
      <x:c r="H170" s="10"/>
      <x:c r="I170" s="5"/>
      <x:c r="J170" s="10"/>
      <x:c r="K170" s="10"/>
      <x:c r="L170" s="10"/>
      <x:c r="M170" s="10"/>
      <x:c r="N170" s="10"/>
      <x:c r="O170" s="7" t="n">
        <x:f t="shared" si="1">SUM(E170:N170)</x:f>
        <x:v>0</x:v>
      </x:c>
      <x:c r="P170" s="7" t="n">
        <x:v>1</x:v>
      </x:c>
      <x:c r="Q170" s="12" t="n">
        <x:f t="shared" si="3">O170-P170</x:f>
        <x:v>-1</x:v>
      </x:c>
      <x:c r="R170" s="13"/>
      <x:c r="S170" s="12"/>
      <x:c r="T170" s="13"/>
      <x:c r="U170" s="13"/>
    </x:row>
    <x:row r="171">
      <x:c r="A171" s="5" t="n">
        <x:v>74642</x:v>
      </x:c>
      <x:c r="B171" s="5" t="n">
        <x:v>1</x:v>
      </x:c>
      <x:c r="C171" s="5" t="n">
        <x:v>2</x:v>
      </x:c>
      <x:c r="D171" s="6" t="str">
        <x:v>REFRIGERADOR MIDEA DUPLEX MD-RT411 294L</x:v>
      </x:c>
      <x:c r="E171" s="25"/>
      <x:c r="F171" s="25"/>
      <x:c r="G171" s="24"/>
      <x:c r="H171" s="25"/>
      <x:c r="I171" s="25"/>
      <x:c r="J171" s="24"/>
      <x:c r="K171" s="24"/>
      <x:c r="L171" s="25" t="n">
        <x:v>1</x:v>
      </x:c>
      <x:c r="M171" s="24"/>
      <x:c r="N171" s="24"/>
      <x:c r="O171" s="26" t="n">
        <x:f t="shared" si="1">SUM(E171:N171)</x:f>
        <x:v>1</x:v>
      </x:c>
      <x:c r="P171" s="26" t="n">
        <x:v>105</x:v>
      </x:c>
      <x:c r="Q171" s="27" t="n">
        <x:f t="shared" si="3">O171-P171</x:f>
        <x:v>-104</x:v>
      </x:c>
      <x:c r="R171" s="16"/>
      <x:c r="S171" s="12"/>
      <x:c r="T171" s="13"/>
      <x:c r="U171" s="13"/>
    </x:row>
    <x:row r="172">
      <x:c r="A172" s="5" t="n">
        <x:v>74642</x:v>
      </x:c>
      <x:c r="B172" s="5" t="n">
        <x:v>1</x:v>
      </x:c>
      <x:c r="C172" s="5" t="n">
        <x:v>3</x:v>
      </x:c>
      <x:c r="D172" s="6" t="str">
        <x:v>REFRIGERADOR MIDEA DUPLEX MD-RT411 294L</x:v>
      </x:c>
      <x:c r="E172" s="10"/>
      <x:c r="F172" s="10"/>
      <x:c r="G172" s="5"/>
      <x:c r="H172" s="5"/>
      <x:c r="I172" s="5"/>
      <x:c r="J172" s="10"/>
      <x:c r="K172" s="10"/>
      <x:c r="L172" s="10"/>
      <x:c r="M172" s="10"/>
      <x:c r="N172" s="10"/>
      <x:c r="O172" s="7" t="n">
        <x:f t="shared" si="1">SUM(E172:N172)</x:f>
        <x:v>0</x:v>
      </x:c>
      <x:c r="P172" s="7" t="n">
        <x:v>37</x:v>
      </x:c>
      <x:c r="Q172" s="12" t="n">
        <x:f t="shared" si="3">O172-P172</x:f>
        <x:v>-37</x:v>
      </x:c>
      <x:c r="R172" s="13"/>
      <x:c r="S172" s="12"/>
      <x:c r="T172" s="13"/>
      <x:c r="U172" s="13"/>
    </x:row>
    <x:row r="173">
      <x:c r="A173" s="5" t="n">
        <x:v>74651</x:v>
      </x:c>
      <x:c r="B173" s="5" t="n">
        <x:v>5</x:v>
      </x:c>
      <x:c r="C173" s="5" t="n">
        <x:v>2</x:v>
      </x:c>
      <x:c r="D173" s="36" t="str">
        <x:v>MICRO-ONDAS MONDIAL MO-01-21-E E</x:v>
      </x:c>
      <x:c r="E173" s="10"/>
      <x:c r="F173" s="10"/>
      <x:c r="G173" s="10"/>
      <x:c r="H173" s="10"/>
      <x:c r="I173" s="5"/>
      <x:c r="J173" s="10"/>
      <x:c r="K173" s="5"/>
      <x:c r="L173" s="10"/>
      <x:c r="M173" s="10"/>
      <x:c r="N173" s="10"/>
      <x:c r="O173" s="7" t="n">
        <x:f t="shared" si="1">SUM(E173:N173)</x:f>
        <x:v>0</x:v>
      </x:c>
      <x:c r="P173" s="7" t="n">
        <x:v>1</x:v>
      </x:c>
      <x:c r="Q173" s="12" t="n">
        <x:f t="shared" si="3">O173-P173</x:f>
        <x:v>-1</x:v>
      </x:c>
      <x:c r="R173" s="13"/>
      <x:c r="S173" s="12"/>
      <x:c r="T173" s="13"/>
      <x:c r="U173" s="13"/>
    </x:row>
    <x:row r="174">
      <x:c r="A174" s="5" t="n">
        <x:v>74652</x:v>
      </x:c>
      <x:c r="B174" s="5" t="n">
        <x:v>4</x:v>
      </x:c>
      <x:c r="C174" s="5" t="n">
        <x:v>4</x:v>
      </x:c>
      <x:c r="D174" s="6" t="str">
        <x:v>REFRIGERADOR MIDEA F.FREE DUPLEX MD-RT611E INVER BIV 473L</x:v>
      </x:c>
      <x:c r="E174" s="10"/>
      <x:c r="F174" s="10"/>
      <x:c r="G174" s="10"/>
      <x:c r="H174" s="10"/>
      <x:c r="I174" s="5" t="n">
        <x:v>1</x:v>
      </x:c>
      <x:c r="J174" s="10"/>
      <x:c r="K174" s="10"/>
      <x:c r="L174" s="10"/>
      <x:c r="M174" s="10"/>
      <x:c r="N174" s="10"/>
      <x:c r="O174" s="7" t="n">
        <x:f t="shared" si="1">SUM(E174:N174)</x:f>
        <x:v>1</x:v>
      </x:c>
      <x:c r="P174" s="7" t="n">
        <x:v>1</x:v>
      </x:c>
      <x:c r="Q174" s="12" t="n">
        <x:f t="shared" si="3">O174-P174</x:f>
        <x:v>0</x:v>
      </x:c>
      <x:c r="R174" s="13"/>
      <x:c r="S174" s="12"/>
      <x:c r="T174" s="13"/>
      <x:c r="U174" s="13"/>
    </x:row>
    <x:row r="175">
      <x:c r="A175" s="5" t="n">
        <x:v>74658</x:v>
      </x:c>
      <x:c r="B175" s="5" t="n">
        <x:v>3</x:v>
      </x:c>
      <x:c r="C175" s="5" t="n">
        <x:v>4</x:v>
      </x:c>
      <x:c r="D175" s="6" t="str">
        <x:v>CAIXA DE SOM MONDIAL BLUETOOTH TORRE TM-2200</x:v>
      </x:c>
      <x:c r="E175" s="10"/>
      <x:c r="F175" s="10"/>
      <x:c r="G175" s="10"/>
      <x:c r="H175" s="10"/>
      <x:c r="I175" s="5"/>
      <x:c r="J175" s="10"/>
      <x:c r="K175" s="10"/>
      <x:c r="L175" s="10"/>
      <x:c r="M175" s="10"/>
      <x:c r="N175" s="10"/>
      <x:c r="O175" s="7" t="n">
        <x:f t="shared" si="1">SUM(E175:N175)</x:f>
        <x:v>0</x:v>
      </x:c>
      <x:c r="P175" s="7" t="n">
        <x:v>2</x:v>
      </x:c>
      <x:c r="Q175" s="12" t="n">
        <x:f t="shared" si="3">O175-P175</x:f>
        <x:v>-2</x:v>
      </x:c>
      <x:c r="R175" s="13"/>
      <x:c r="S175" s="12"/>
      <x:c r="T175" s="13"/>
      <x:c r="U175" s="13"/>
    </x:row>
    <x:row r="176">
      <x:c r="A176" s="5" t="n">
        <x:v>74676</x:v>
      </x:c>
      <x:c r="B176" s="5" t="n">
        <x:v>2635</x:v>
      </x:c>
      <x:c r="C176" s="5" t="n">
        <x:v>0</x:v>
      </x:c>
      <x:c r="D176" s="6" t="str">
        <x:v>BICICLETA AERO ARO 26 VENUM</x:v>
      </x:c>
      <x:c r="E176" s="10"/>
      <x:c r="F176" s="10"/>
      <x:c r="G176" s="10"/>
      <x:c r="H176" s="10"/>
      <x:c r="I176" s="5"/>
      <x:c r="J176" s="10"/>
      <x:c r="K176" s="10"/>
      <x:c r="L176" s="10"/>
      <x:c r="M176" s="10"/>
      <x:c r="N176" s="10"/>
      <x:c r="O176" s="7" t="n">
        <x:f t="shared" si="1">SUM(E176:N176)</x:f>
        <x:v>0</x:v>
      </x:c>
      <x:c r="P176" s="7" t="n">
        <x:v>78</x:v>
      </x:c>
      <x:c r="Q176" s="12" t="n">
        <x:f t="shared" si="3">O176-P176</x:f>
        <x:v>-78</x:v>
      </x:c>
      <x:c r="R176" s="13"/>
      <x:c r="S176" s="12"/>
      <x:c r="T176" s="13"/>
      <x:c r="U176" s="13"/>
    </x:row>
    <x:row r="177">
      <x:c r="A177" s="5" t="n">
        <x:v>74683</x:v>
      </x:c>
      <x:c r="B177" s="5" t="n">
        <x:v>1</x:v>
      </x:c>
      <x:c r="C177" s="5" t="n">
        <x:v>2</x:v>
      </x:c>
      <x:c r="D177" s="6" t="str">
        <x:v>REFRIGERADOR CONSUL CRM44MB INVER F.FREE 377L</x:v>
      </x:c>
      <x:c r="E177" s="5"/>
      <x:c r="F177" s="5"/>
      <x:c r="G177" s="10"/>
      <x:c r="H177" s="5"/>
      <x:c r="I177" s="5"/>
      <x:c r="J177" s="10"/>
      <x:c r="K177" s="10"/>
      <x:c r="L177" s="5" t="n">
        <x:v>2</x:v>
      </x:c>
      <x:c r="M177" s="5"/>
      <x:c r="N177" s="5"/>
      <x:c r="O177" s="7" t="n">
        <x:f t="shared" si="1">SUM(E177:N177)</x:f>
        <x:v>2</x:v>
      </x:c>
      <x:c r="P177" s="7" t="n">
        <x:v>135</x:v>
      </x:c>
      <x:c r="Q177" s="12" t="n">
        <x:f t="shared" si="3">O177-P177</x:f>
        <x:v>-133</x:v>
      </x:c>
      <x:c r="R177" s="16"/>
      <x:c r="S177" s="7" t="n">
        <x:v>1</x:v>
      </x:c>
      <x:c r="T177" s="16"/>
      <x:c r="U177" s="16"/>
    </x:row>
    <x:row r="178">
      <x:c r="A178" s="5" t="n">
        <x:v>74683</x:v>
      </x:c>
      <x:c r="B178" s="5" t="n">
        <x:v>1</x:v>
      </x:c>
      <x:c r="C178" s="5" t="n">
        <x:v>3</x:v>
      </x:c>
      <x:c r="D178" s="6" t="str">
        <x:v>REFRIGERADOR CONSUL CRM44MB INVER F.FREE 377L</x:v>
      </x:c>
      <x:c r="E178" s="5"/>
      <x:c r="F178" s="5"/>
      <x:c r="G178" s="10"/>
      <x:c r="H178" s="5"/>
      <x:c r="I178" s="5"/>
      <x:c r="J178" s="10"/>
      <x:c r="K178" s="10"/>
      <x:c r="L178" s="5" t="n">
        <x:v>4</x:v>
      </x:c>
      <x:c r="M178" s="5"/>
      <x:c r="N178" s="5"/>
      <x:c r="O178" s="7" t="n">
        <x:f t="shared" si="1">SUM(E178:N178)</x:f>
        <x:v>4</x:v>
      </x:c>
      <x:c r="P178" s="7" t="n">
        <x:v>123</x:v>
      </x:c>
      <x:c r="Q178" s="12" t="n">
        <x:f t="shared" si="3">O178-P178</x:f>
        <x:v>-119</x:v>
      </x:c>
      <x:c r="R178" s="16"/>
      <x:c r="S178" s="12"/>
      <x:c r="T178" s="13"/>
      <x:c r="U178" s="13"/>
    </x:row>
    <x:row r="179">
      <x:c r="A179" s="5" t="n">
        <x:v>74684</x:v>
      </x:c>
      <x:c r="B179" s="5" t="n">
        <x:v>4</x:v>
      </x:c>
      <x:c r="C179" s="5" t="n">
        <x:v>2</x:v>
      </x:c>
      <x:c r="D179" s="6" t="str">
        <x:v>REFRIGERADOR CONSUL CRM44MK INVER F.FREE 377L</x:v>
      </x:c>
      <x:c r="E179" s="25"/>
      <x:c r="F179" s="25"/>
      <x:c r="G179" s="24"/>
      <x:c r="H179" s="24"/>
      <x:c r="I179" s="25"/>
      <x:c r="J179" s="24"/>
      <x:c r="K179" s="25"/>
      <x:c r="L179" s="25" t="n">
        <x:v>4</x:v>
      </x:c>
      <x:c r="M179" s="25"/>
      <x:c r="N179" s="25"/>
      <x:c r="O179" s="26" t="n">
        <x:f t="shared" si="1">SUM(E179:N179)</x:f>
        <x:v>4</x:v>
      </x:c>
      <x:c r="P179" s="26" t="n">
        <x:v>11</x:v>
      </x:c>
      <x:c r="Q179" s="27" t="n">
        <x:f t="shared" si="3">O179-P179</x:f>
        <x:v>-7</x:v>
      </x:c>
      <x:c r="R179" s="16"/>
      <x:c r="S179" s="12"/>
      <x:c r="T179" s="13"/>
      <x:c r="U179" s="13"/>
    </x:row>
    <x:row r="180">
      <x:c r="A180" s="5" t="n">
        <x:v>74684</x:v>
      </x:c>
      <x:c r="B180" s="5" t="n">
        <x:v>4</x:v>
      </x:c>
      <x:c r="C180" s="5" t="n">
        <x:v>3</x:v>
      </x:c>
      <x:c r="D180" s="6" t="str">
        <x:v>REFRIGERADOR CONSUL CRM44MK INVER F.FREE 377L</x:v>
      </x:c>
      <x:c r="E180" s="5"/>
      <x:c r="F180" s="10"/>
      <x:c r="G180" s="10"/>
      <x:c r="H180" s="5"/>
      <x:c r="I180" s="5"/>
      <x:c r="J180" s="10"/>
      <x:c r="K180" s="10"/>
      <x:c r="L180" s="10"/>
      <x:c r="M180" s="10"/>
      <x:c r="N180" s="5"/>
      <x:c r="O180" s="7" t="n">
        <x:f t="shared" si="1">SUM(E180:N180)</x:f>
        <x:v>0</x:v>
      </x:c>
      <x:c r="P180" s="7" t="n">
        <x:v>119</x:v>
      </x:c>
      <x:c r="Q180" s="12" t="n">
        <x:f t="shared" si="3">O180-P180</x:f>
        <x:v>-119</x:v>
      </x:c>
      <x:c r="R180" s="16"/>
      <x:c r="S180" s="7" t="n">
        <x:v>1</x:v>
      </x:c>
      <x:c r="T180" s="13"/>
      <x:c r="U180" s="13"/>
    </x:row>
    <x:row r="181">
      <x:c r="A181" s="5" t="n">
        <x:v>74727</x:v>
      </x:c>
      <x:c r="B181" s="5" t="n">
        <x:v>7</x:v>
      </x:c>
      <x:c r="C181" s="5" t="n">
        <x:v>0</x:v>
      </x:c>
      <x:c r="D181" s="6" t="str">
        <x:v>BICICLETA TRACK ARO 12 TK3 IRIS</x:v>
      </x:c>
      <x:c r="E181" s="10"/>
      <x:c r="F181" s="10"/>
      <x:c r="G181" s="10"/>
      <x:c r="H181" s="33"/>
      <x:c r="I181" s="5"/>
      <x:c r="J181" s="10"/>
      <x:c r="K181" s="10"/>
      <x:c r="L181" s="10"/>
      <x:c r="M181" s="10"/>
      <x:c r="N181" s="10"/>
      <x:c r="O181" s="7" t="n">
        <x:f t="shared" si="1">SUM(E181:N181)</x:f>
        <x:v>0</x:v>
      </x:c>
      <x:c r="P181" s="7" t="n">
        <x:v>137</x:v>
      </x:c>
      <x:c r="Q181" s="12" t="n">
        <x:f t="shared" si="3">O181-P181</x:f>
        <x:v>-137</x:v>
      </x:c>
      <x:c r="R181" s="13"/>
      <x:c r="S181" s="12"/>
      <x:c r="T181" s="13"/>
      <x:c r="U181" s="13"/>
    </x:row>
    <x:row r="182">
      <x:c r="A182" s="5" t="n">
        <x:v>74728</x:v>
      </x:c>
      <x:c r="B182" s="5" t="n">
        <x:v>491</x:v>
      </x:c>
      <x:c r="C182" s="5" t="n">
        <x:v>0</x:v>
      </x:c>
      <x:c r="D182" s="6" t="str">
        <x:v>BICICLETA TRACK ARO 12 TK3 ARCO IRIS</x:v>
      </x:c>
      <x:c r="E182" s="10"/>
      <x:c r="F182" s="10"/>
      <x:c r="G182" s="10"/>
      <x:c r="H182" s="33"/>
      <x:c r="I182" s="5"/>
      <x:c r="J182" s="10"/>
      <x:c r="K182" s="10"/>
      <x:c r="L182" s="10"/>
      <x:c r="M182" s="10"/>
      <x:c r="N182" s="10"/>
      <x:c r="O182" s="7" t="n">
        <x:f t="shared" si="1">SUM(E182:N182)</x:f>
        <x:v>0</x:v>
      </x:c>
      <x:c r="P182" s="7" t="n">
        <x:v>142</x:v>
      </x:c>
      <x:c r="Q182" s="12" t="n">
        <x:f t="shared" si="3">O182-P182</x:f>
        <x:v>-142</x:v>
      </x:c>
      <x:c r="R182" s="13"/>
      <x:c r="S182" s="12"/>
      <x:c r="T182" s="13"/>
      <x:c r="U182" s="13"/>
    </x:row>
    <x:row r="183">
      <x:c r="A183" s="5" t="n">
        <x:v>74771</x:v>
      </x:c>
      <x:c r="B183" s="5" t="n">
        <x:v>1</x:v>
      </x:c>
      <x:c r="C183" s="5" t="n">
        <x:v>2</x:v>
      </x:c>
      <x:c r="D183" s="6" t="str">
        <x:v>VENTILADOR MESA MONDIAL 30CM VSP-30-W 60W</x:v>
      </x:c>
      <x:c r="E183" s="10"/>
      <x:c r="F183" s="10"/>
      <x:c r="G183" s="10"/>
      <x:c r="H183" s="10"/>
      <x:c r="I183" s="5"/>
      <x:c r="J183" s="10"/>
      <x:c r="K183" s="10"/>
      <x:c r="L183" s="10"/>
      <x:c r="M183" s="10"/>
      <x:c r="N183" s="10"/>
      <x:c r="O183" s="7" t="n">
        <x:f t="shared" si="1">SUM(E183:N183)</x:f>
        <x:v>0</x:v>
      </x:c>
      <x:c r="P183" s="7" t="n">
        <x:v>21</x:v>
      </x:c>
      <x:c r="Q183" s="12" t="n">
        <x:f t="shared" si="3">O183-P183</x:f>
        <x:v>-21</x:v>
      </x:c>
      <x:c r="R183" s="13"/>
      <x:c r="S183" s="7" t="n">
        <x:v>10</x:v>
      </x:c>
      <x:c r="T183" s="13"/>
      <x:c r="U183" s="13"/>
    </x:row>
    <x:row r="184">
      <x:c r="A184" s="5" t="n">
        <x:v>74778</x:v>
      </x:c>
      <x:c r="B184" s="5" t="n">
        <x:v>3</x:v>
      </x:c>
      <x:c r="C184" s="5" t="n">
        <x:v>4</x:v>
      </x:c>
      <x:c r="D184" s="36" t="str">
        <x:v>TV 43" PHILIPS SMART FULL HD 43PF</x:v>
      </x:c>
      <x:c r="E184" s="10"/>
      <x:c r="F184" s="10"/>
      <x:c r="G184" s="10"/>
      <x:c r="H184" s="10"/>
      <x:c r="I184" s="5"/>
      <x:c r="J184" s="10"/>
      <x:c r="K184" s="10"/>
      <x:c r="L184" s="10"/>
      <x:c r="M184" s="10"/>
      <x:c r="N184" s="10"/>
      <x:c r="O184" s="7" t="n">
        <x:f t="shared" si="1">SUM(E184:N184)</x:f>
        <x:v>0</x:v>
      </x:c>
      <x:c r="P184" s="7" t="n">
        <x:v>224</x:v>
      </x:c>
      <x:c r="Q184" s="12" t="n">
        <x:f t="shared" si="3">O184-P184</x:f>
        <x:v>-224</x:v>
      </x:c>
      <x:c r="R184" s="13"/>
      <x:c r="S184" s="12"/>
      <x:c r="T184" s="13"/>
      <x:c r="U184" s="13"/>
    </x:row>
    <x:row r="185">
      <x:c r="A185" s="5" t="n">
        <x:v>74785</x:v>
      </x:c>
      <x:c r="B185" s="5" t="n">
        <x:v>1</x:v>
      </x:c>
      <x:c r="C185" s="5" t="n">
        <x:v>4</x:v>
      </x:c>
      <x:c r="D185" s="6" t="str">
        <x:v>FOGAO ATLAS 4BCS MILAO PLUS MESA INOX</x:v>
      </x:c>
      <x:c r="E185" s="10"/>
      <x:c r="F185" s="10"/>
      <x:c r="G185" s="10"/>
      <x:c r="H185" s="5"/>
      <x:c r="I185" s="5"/>
      <x:c r="J185" s="10"/>
      <x:c r="K185" s="10"/>
      <x:c r="L185" s="5" t="n">
        <x:v>1</x:v>
      </x:c>
      <x:c r="M185" s="5"/>
      <x:c r="N185" s="5"/>
      <x:c r="O185" s="7" t="n">
        <x:f t="shared" si="1">SUM(E185:N185)</x:f>
        <x:v>1</x:v>
      </x:c>
      <x:c r="P185" s="7" t="n">
        <x:v>2</x:v>
      </x:c>
      <x:c r="Q185" s="12" t="n">
        <x:f t="shared" si="3">O185-P185</x:f>
        <x:v>-1</x:v>
      </x:c>
      <x:c r="R185" s="13"/>
      <x:c r="S185" s="12"/>
      <x:c r="T185" s="13"/>
      <x:c r="U185" s="13"/>
    </x:row>
    <x:row r="186">
      <x:c r="A186" s="5" t="n">
        <x:v>74785</x:v>
      </x:c>
      <x:c r="B186" s="5" t="n">
        <x:v>3</x:v>
      </x:c>
      <x:c r="C186" s="5" t="n">
        <x:v>4</x:v>
      </x:c>
      <x:c r="D186" s="6" t="str">
        <x:v>FOGAO ATLAS 4BCS MILAO PLUS MESA INOX</x:v>
      </x:c>
      <x:c r="E186" s="10"/>
      <x:c r="F186" s="10"/>
      <x:c r="G186" s="10"/>
      <x:c r="H186" s="5"/>
      <x:c r="I186" s="5"/>
      <x:c r="J186" s="10"/>
      <x:c r="K186" s="10"/>
      <x:c r="L186" s="10"/>
      <x:c r="M186" s="10"/>
      <x:c r="N186" s="10"/>
      <x:c r="O186" s="7" t="n">
        <x:f t="shared" si="1">SUM(E186:N186)</x:f>
        <x:v>0</x:v>
      </x:c>
      <x:c r="P186" s="7" t="n">
        <x:v>7</x:v>
      </x:c>
      <x:c r="Q186" s="12" t="n">
        <x:f t="shared" si="3">O186-P186</x:f>
        <x:v>-7</x:v>
      </x:c>
      <x:c r="R186" s="13"/>
      <x:c r="S186" s="12"/>
      <x:c r="T186" s="13"/>
      <x:c r="U186" s="13"/>
    </x:row>
    <x:row r="187">
      <x:c r="A187" s="5" t="n">
        <x:v>74786</x:v>
      </x:c>
      <x:c r="B187" s="5" t="n">
        <x:v>1</x:v>
      </x:c>
      <x:c r="C187" s="5" t="n">
        <x:v>4</x:v>
      </x:c>
      <x:c r="D187" s="6" t="str">
        <x:v>FOGAO ATLAS 5BCS MILAO PLUS MESA INOX</x:v>
      </x:c>
      <x:c r="E187" s="29"/>
      <x:c r="F187" s="29"/>
      <x:c r="G187" s="29"/>
      <x:c r="H187" s="29"/>
      <x:c r="I187" s="30"/>
      <x:c r="J187" s="10"/>
      <x:c r="K187" s="10"/>
      <x:c r="L187" s="10"/>
      <x:c r="M187" s="10"/>
      <x:c r="N187" s="10"/>
      <x:c r="O187" s="31" t="n">
        <x:f t="shared" si="1">SUM(E187:N187)</x:f>
        <x:v>0</x:v>
      </x:c>
      <x:c r="P187" s="31" t="n">
        <x:v>2</x:v>
      </x:c>
      <x:c r="Q187" s="32" t="n">
        <x:f t="shared" si="3">O187-P187</x:f>
        <x:v>-2</x:v>
      </x:c>
      <x:c r="R187" s="13"/>
      <x:c r="S187" s="12"/>
      <x:c r="T187" s="13"/>
      <x:c r="U187" s="13"/>
    </x:row>
    <x:row r="188">
      <x:c r="A188" s="5" t="n">
        <x:v>74786</x:v>
      </x:c>
      <x:c r="B188" s="5" t="n">
        <x:v>3</x:v>
      </x:c>
      <x:c r="C188" s="5" t="n">
        <x:v>4</x:v>
      </x:c>
      <x:c r="D188" s="6" t="str">
        <x:v>FOGAO ATLAS 5BCS MILAO PLUS MESA INOX</x:v>
      </x:c>
      <x:c r="E188" s="10"/>
      <x:c r="F188" s="10"/>
      <x:c r="G188" s="10"/>
      <x:c r="H188" s="5"/>
      <x:c r="I188" s="5"/>
      <x:c r="J188" s="10"/>
      <x:c r="K188" s="10"/>
      <x:c r="L188" s="5" t="n">
        <x:v>10</x:v>
      </x:c>
      <x:c r="M188" s="5"/>
      <x:c r="N188" s="5"/>
      <x:c r="O188" s="7" t="n">
        <x:f t="shared" si="1">SUM(E188:N188)</x:f>
        <x:v>10</x:v>
      </x:c>
      <x:c r="P188" s="7" t="n">
        <x:v>10</x:v>
      </x:c>
      <x:c r="Q188" s="12" t="n">
        <x:f t="shared" si="3">O188-P188</x:f>
        <x:v>0</x:v>
      </x:c>
      <x:c r="R188" s="16"/>
      <x:c r="S188" s="7"/>
      <x:c r="T188" s="16"/>
      <x:c r="U188" s="16"/>
    </x:row>
    <x:row r="189">
      <x:c r="A189" s="5" t="n">
        <x:v>74789</x:v>
      </x:c>
      <x:c r="B189" s="5" t="n">
        <x:v>1</x:v>
      </x:c>
      <x:c r="C189" s="5" t="n">
        <x:v>0</x:v>
      </x:c>
      <x:c r="D189" s="6" t="str">
        <x:v>FOGAO ATLAS 4BCS MILAO MESA INOX</x:v>
      </x:c>
      <x:c r="E189" s="10"/>
      <x:c r="F189" s="10"/>
      <x:c r="G189" s="10"/>
      <x:c r="H189" s="10"/>
      <x:c r="I189" s="5"/>
      <x:c r="J189" s="5"/>
      <x:c r="K189" s="10"/>
      <x:c r="L189" s="5" t="n">
        <x:v>6</x:v>
      </x:c>
      <x:c r="M189" s="5"/>
      <x:c r="N189" s="5"/>
      <x:c r="O189" s="7" t="n">
        <x:f t="shared" si="1">SUM(E189:N189)</x:f>
        <x:v>6</x:v>
      </x:c>
      <x:c r="P189" s="7" t="n">
        <x:v>24</x:v>
      </x:c>
      <x:c r="Q189" s="12" t="n">
        <x:f t="shared" si="3">O189-P189</x:f>
        <x:v>-18</x:v>
      </x:c>
      <x:c r="R189" s="13"/>
      <x:c r="S189" s="12"/>
      <x:c r="T189" s="13"/>
      <x:c r="U189" s="13"/>
    </x:row>
    <x:row r="190">
      <x:c r="A190" s="5" t="n">
        <x:v>74789</x:v>
      </x:c>
      <x:c r="B190" s="5" t="n">
        <x:v>3</x:v>
      </x:c>
      <x:c r="C190" s="5" t="n">
        <x:v>0</x:v>
      </x:c>
      <x:c r="D190" s="6" t="str">
        <x:v>FOGAO ATLAS 4BCS MILAO MESA INOX</x:v>
      </x:c>
      <x:c r="E190" s="25"/>
      <x:c r="F190" s="25"/>
      <x:c r="G190" s="24"/>
      <x:c r="H190" s="25"/>
      <x:c r="I190" s="25"/>
      <x:c r="J190" s="24"/>
      <x:c r="K190" s="24"/>
      <x:c r="L190" s="25" t="n">
        <x:v>5</x:v>
      </x:c>
      <x:c r="M190" s="25"/>
      <x:c r="N190" s="25"/>
      <x:c r="O190" s="26" t="n">
        <x:f t="shared" si="1">SUM(E190:N190)</x:f>
        <x:v>5</x:v>
      </x:c>
      <x:c r="P190" s="26" t="n">
        <x:v>8</x:v>
      </x:c>
      <x:c r="Q190" s="27" t="n">
        <x:f t="shared" si="3">O190-P190</x:f>
        <x:v>-3</x:v>
      </x:c>
      <x:c r="R190" s="16"/>
      <x:c r="S190" s="7"/>
      <x:c r="T190" s="16"/>
      <x:c r="U190" s="16"/>
    </x:row>
    <x:row r="191">
      <x:c r="A191" s="5" t="n">
        <x:v>74794</x:v>
      </x:c>
      <x:c r="B191" s="5" t="n">
        <x:v>1</x:v>
      </x:c>
      <x:c r="C191" s="5" t="n">
        <x:v>2</x:v>
      </x:c>
      <x:c r="D191" s="6" t="str">
        <x:v>REFRIGERADOR CONSUL CRM40MB F.FREE 333L</x:v>
      </x:c>
      <x:c r="E191" s="5"/>
      <x:c r="F191" s="5"/>
      <x:c r="G191" s="5"/>
      <x:c r="H191" s="5"/>
      <x:c r="I191" s="5" t="n">
        <x:v>90</x:v>
      </x:c>
      <x:c r="J191" s="10"/>
      <x:c r="K191" s="10"/>
      <x:c r="L191" s="10"/>
      <x:c r="M191" s="5"/>
      <x:c r="N191" s="5"/>
      <x:c r="O191" s="7" t="n">
        <x:f t="shared" si="1">SUM(E191:N191)</x:f>
        <x:v>90</x:v>
      </x:c>
      <x:c r="P191" s="7" t="n">
        <x:v>3</x:v>
      </x:c>
      <x:c r="Q191" s="12" t="n">
        <x:f t="shared" si="3">O191-P191</x:f>
        <x:v>87</x:v>
      </x:c>
      <x:c r="R191" s="13"/>
      <x:c r="S191" s="12"/>
      <x:c r="T191" s="13"/>
      <x:c r="U191" s="13"/>
    </x:row>
    <x:row r="192">
      <x:c r="A192" s="5" t="n">
        <x:v>74794</x:v>
      </x:c>
      <x:c r="B192" s="5" t="n">
        <x:v>1</x:v>
      </x:c>
      <x:c r="C192" s="5" t="n">
        <x:v>3</x:v>
      </x:c>
      <x:c r="D192" s="6" t="str">
        <x:v>REFRIGERADOR CONSUL CRM40MB F.FREE 333L</x:v>
      </x:c>
      <x:c r="E192" s="10"/>
      <x:c r="F192" s="10"/>
      <x:c r="G192" s="5"/>
      <x:c r="H192" s="5"/>
      <x:c r="I192" s="5" t="n">
        <x:v>104</x:v>
      </x:c>
      <x:c r="J192" s="10"/>
      <x:c r="K192" s="10"/>
      <x:c r="L192" s="5" t="n">
        <x:v>2</x:v>
      </x:c>
      <x:c r="M192" s="5"/>
      <x:c r="N192" s="5"/>
      <x:c r="O192" s="7" t="n">
        <x:f t="shared" si="1">SUM(E192:N192)</x:f>
        <x:v>106</x:v>
      </x:c>
      <x:c r="P192" s="7" t="n">
        <x:v>17</x:v>
      </x:c>
      <x:c r="Q192" s="12" t="n">
        <x:f t="shared" si="3">O192-P192</x:f>
        <x:v>89</x:v>
      </x:c>
      <x:c r="R192" s="13"/>
      <x:c r="S192" s="12"/>
      <x:c r="T192" s="13"/>
      <x:c r="U192" s="13"/>
    </x:row>
    <x:row r="193">
      <x:c r="A193" s="5" t="n">
        <x:v>74795</x:v>
      </x:c>
      <x:c r="B193" s="5" t="n">
        <x:v>1</x:v>
      </x:c>
      <x:c r="C193" s="5" t="n">
        <x:v>2</x:v>
      </x:c>
      <x:c r="D193" s="6" t="str">
        <x:v>FREEZER PHILCO HORIZ PFH260B 253L</x:v>
      </x:c>
      <x:c r="E193" s="10"/>
      <x:c r="F193" s="10"/>
      <x:c r="G193" s="10"/>
      <x:c r="H193" s="10"/>
      <x:c r="I193" s="5"/>
      <x:c r="J193" s="10"/>
      <x:c r="K193" s="10"/>
      <x:c r="L193" s="10"/>
      <x:c r="M193" s="10"/>
      <x:c r="N193" s="10"/>
      <x:c r="O193" s="7" t="n">
        <x:f t="shared" si="1">SUM(E193:N193)</x:f>
        <x:v>0</x:v>
      </x:c>
      <x:c r="P193" s="7" t="n">
        <x:v>2</x:v>
      </x:c>
      <x:c r="Q193" s="12" t="n">
        <x:f t="shared" si="3">O193-P193</x:f>
        <x:v>-2</x:v>
      </x:c>
      <x:c r="R193" s="13"/>
      <x:c r="S193" s="12"/>
      <x:c r="T193" s="13"/>
      <x:c r="U193" s="13"/>
    </x:row>
    <x:row r="194">
      <x:c r="A194" s="5" t="n">
        <x:v>74795</x:v>
      </x:c>
      <x:c r="B194" s="5" t="n">
        <x:v>1</x:v>
      </x:c>
      <x:c r="C194" s="5" t="n">
        <x:v>3</x:v>
      </x:c>
      <x:c r="D194" s="6" t="str">
        <x:v>FREEZER PHILCO HORIZ PFH260B 253L</x:v>
      </x:c>
      <x:c r="E194" s="10"/>
      <x:c r="F194" s="10"/>
      <x:c r="G194" s="10"/>
      <x:c r="H194" s="10"/>
      <x:c r="I194" s="5"/>
      <x:c r="J194" s="10"/>
      <x:c r="K194" s="10"/>
      <x:c r="L194" s="10"/>
      <x:c r="M194" s="10"/>
      <x:c r="N194" s="10"/>
      <x:c r="O194" s="7" t="n">
        <x:f t="shared" si="1">SUM(E194:N194)</x:f>
        <x:v>0</x:v>
      </x:c>
      <x:c r="P194" s="7" t="n">
        <x:v>15</x:v>
      </x:c>
      <x:c r="Q194" s="12" t="n">
        <x:f t="shared" si="3">O194-P194</x:f>
        <x:v>-15</x:v>
      </x:c>
      <x:c r="R194" s="13"/>
      <x:c r="S194" s="12"/>
      <x:c r="T194" s="13"/>
      <x:c r="U194" s="13"/>
    </x:row>
    <x:row r="195">
      <x:c r="A195" s="5" t="n">
        <x:v>74796</x:v>
      </x:c>
      <x:c r="B195" s="5" t="n">
        <x:v>1</x:v>
      </x:c>
      <x:c r="C195" s="5" t="n">
        <x:v>3</x:v>
      </x:c>
      <x:c r="D195" s="6" t="str">
        <x:v>FREEZER PHILCO HORIZ PFH300B 299L</x:v>
      </x:c>
      <x:c r="E195" s="10"/>
      <x:c r="F195" s="10"/>
      <x:c r="G195" s="10"/>
      <x:c r="H195" s="10"/>
      <x:c r="I195" s="5"/>
      <x:c r="J195" s="5"/>
      <x:c r="K195" s="10"/>
      <x:c r="L195" s="10"/>
      <x:c r="M195" s="10"/>
      <x:c r="N195" s="10"/>
      <x:c r="O195" s="7" t="n">
        <x:f t="shared" si="1">SUM(E195:N195)</x:f>
        <x:v>0</x:v>
      </x:c>
      <x:c r="P195" s="7" t="n">
        <x:v>27</x:v>
      </x:c>
      <x:c r="Q195" s="12" t="n">
        <x:f t="shared" si="3">O195-P195</x:f>
        <x:v>-27</x:v>
      </x:c>
      <x:c r="R195" s="13"/>
      <x:c r="S195" s="12"/>
      <x:c r="T195" s="13"/>
      <x:c r="U195" s="13"/>
    </x:row>
    <x:row r="196">
      <x:c r="A196" s="5" t="n">
        <x:v>74804</x:v>
      </x:c>
      <x:c r="B196" s="5" t="n">
        <x:v>3</x:v>
      </x:c>
      <x:c r="C196" s="5" t="n">
        <x:v>0</x:v>
      </x:c>
      <x:c r="D196" s="6" t="str">
        <x:v>SMARTPHONE SAMSUNG A07 A075 128GB 4G</x:v>
      </x:c>
      <x:c r="E196" s="10"/>
      <x:c r="F196" s="10"/>
      <x:c r="G196" s="10"/>
      <x:c r="H196" s="10"/>
      <x:c r="I196" s="5"/>
      <x:c r="J196" s="10"/>
      <x:c r="K196" s="10"/>
      <x:c r="L196" s="10"/>
      <x:c r="M196" s="10"/>
      <x:c r="N196" s="10"/>
      <x:c r="O196" s="7" t="n">
        <x:f t="shared" si="1">SUM(E196:N196)</x:f>
        <x:v>0</x:v>
      </x:c>
      <x:c r="P196" s="7" t="n">
        <x:v>151</x:v>
      </x:c>
      <x:c r="Q196" s="12" t="n">
        <x:f t="shared" si="3">O196-P196</x:f>
        <x:v>-151</x:v>
      </x:c>
      <x:c r="R196" s="13"/>
      <x:c r="S196" s="12"/>
      <x:c r="T196" s="13"/>
      <x:c r="U196" s="13"/>
    </x:row>
    <x:row r="197">
      <x:c r="A197" s="5" t="n">
        <x:v>74939</x:v>
      </x:c>
      <x:c r="B197" s="5" t="n">
        <x:v>3</x:v>
      </x:c>
      <x:c r="C197" s="5" t="n">
        <x:v>4</x:v>
      </x:c>
      <x:c r="D197" s="6" t="str">
        <x:v>TV 32" AOC SMART ROKU HD 32S5155/78G</x:v>
      </x:c>
      <x:c r="E197" s="24"/>
      <x:c r="F197" s="24"/>
      <x:c r="G197" s="24"/>
      <x:c r="H197" s="24"/>
      <x:c r="I197" s="25"/>
      <x:c r="J197" s="24"/>
      <x:c r="K197" s="24"/>
      <x:c r="L197" s="24"/>
      <x:c r="M197" s="24"/>
      <x:c r="N197" s="24"/>
      <x:c r="O197" s="26" t="n">
        <x:f t="shared" si="1">SUM(E197:N197)</x:f>
        <x:v>0</x:v>
      </x:c>
      <x:c r="P197" s="26" t="n">
        <x:v>53</x:v>
      </x:c>
      <x:c r="Q197" s="27" t="n">
        <x:f t="shared" si="3">O197-P197</x:f>
        <x:v>-53</x:v>
      </x:c>
      <x:c r="R197" s="13"/>
      <x:c r="S197" s="12"/>
      <x:c r="T197" s="13"/>
      <x:c r="U197" s="13"/>
    </x:row>
    <x:row r="198">
      <x:c r="A198" s="5" t="n">
        <x:v>74968</x:v>
      </x:c>
      <x:c r="B198" s="5" t="n">
        <x:v>1</x:v>
      </x:c>
      <x:c r="C198" s="5" t="n">
        <x:v>2</x:v>
      </x:c>
      <x:c r="D198" s="6" t="str">
        <x:v>MICRO-ONDAS MIDEA MASTERCOOK MHP20B 20L</x:v>
      </x:c>
      <x:c r="E198" s="10"/>
      <x:c r="F198" s="10"/>
      <x:c r="G198" s="10"/>
      <x:c r="H198" s="10"/>
      <x:c r="I198" s="5"/>
      <x:c r="J198" s="10"/>
      <x:c r="K198" s="10"/>
      <x:c r="L198" s="10"/>
      <x:c r="M198" s="10"/>
      <x:c r="N198" s="10"/>
      <x:c r="O198" s="7" t="n">
        <x:f t="shared" si="1">SUM(E198:N198)</x:f>
        <x:v>0</x:v>
      </x:c>
      <x:c r="P198" s="7" t="n">
        <x:v>767</x:v>
      </x:c>
      <x:c r="Q198" s="12" t="n">
        <x:f t="shared" si="3">O198-P198</x:f>
        <x:v>-767</x:v>
      </x:c>
      <x:c r="R198" s="13"/>
      <x:c r="S198" s="12"/>
      <x:c r="T198" s="13"/>
      <x:c r="U198" s="13"/>
    </x:row>
    <x:row r="199">
      <x:c r="A199" s="5" t="n">
        <x:v>74968</x:v>
      </x:c>
      <x:c r="B199" s="5" t="n">
        <x:v>1</x:v>
      </x:c>
      <x:c r="C199" s="5" t="n">
        <x:v>3</x:v>
      </x:c>
      <x:c r="D199" s="6" t="str">
        <x:v>MICRO-ONDAS MIDEA MASTERCOOK MHP20B 20L</x:v>
      </x:c>
      <x:c r="E199" s="10"/>
      <x:c r="F199" s="10"/>
      <x:c r="G199" s="10"/>
      <x:c r="H199" s="10"/>
      <x:c r="I199" s="5"/>
      <x:c r="J199" s="10"/>
      <x:c r="K199" s="10"/>
      <x:c r="L199" s="10"/>
      <x:c r="M199" s="10"/>
      <x:c r="N199" s="10"/>
      <x:c r="O199" s="7" t="n">
        <x:f t="shared" si="1">SUM(E199:N199)</x:f>
        <x:v>0</x:v>
      </x:c>
      <x:c r="P199" s="7" t="n">
        <x:v>95</x:v>
      </x:c>
      <x:c r="Q199" s="12" t="n">
        <x:f t="shared" si="3">O199-P199</x:f>
        <x:v>-95</x:v>
      </x:c>
      <x:c r="R199" s="13"/>
      <x:c r="S199" s="12"/>
      <x:c r="T199" s="13"/>
      <x:c r="U199" s="13"/>
    </x:row>
    <x:row r="200">
      <x:c r="A200" s="5" t="n">
        <x:v>74971</x:v>
      </x:c>
      <x:c r="B200" s="5" t="n">
        <x:v>3</x:v>
      </x:c>
      <x:c r="C200" s="5" t="n">
        <x:v>0</x:v>
      </x:c>
      <x:c r="D200" s="6" t="str">
        <x:v>SMARTPHONE SAMSUNG A17 A175 128GB 4G</x:v>
      </x:c>
      <x:c r="E200" s="10"/>
      <x:c r="F200" s="10"/>
      <x:c r="G200" s="10"/>
      <x:c r="H200" s="10"/>
      <x:c r="I200" s="5"/>
      <x:c r="J200" s="10"/>
      <x:c r="K200" s="10"/>
      <x:c r="L200" s="10"/>
      <x:c r="M200" s="10"/>
      <x:c r="N200" s="10"/>
      <x:c r="O200" s="7" t="n">
        <x:f t="shared" si="1">SUM(E200:N200)</x:f>
        <x:v>0</x:v>
      </x:c>
      <x:c r="P200" s="7" t="n">
        <x:v>150</x:v>
      </x:c>
      <x:c r="Q200" s="12" t="n">
        <x:f t="shared" si="3">O200-P200</x:f>
        <x:v>-150</x:v>
      </x:c>
      <x:c r="R200" s="13"/>
      <x:c r="S200" s="12"/>
      <x:c r="T200" s="13"/>
      <x:c r="U200" s="13"/>
    </x:row>
    <x:row r="201">
      <x:c r="A201" s="5" t="n">
        <x:v>74984</x:v>
      </x:c>
      <x:c r="B201" s="5" t="n">
        <x:v>1045</x:v>
      </x:c>
      <x:c r="C201" s="5" t="n">
        <x:v>0</x:v>
      </x:c>
      <x:c r="D201" s="6" t="str">
        <x:v>KIT BANHEIRO RORATO TURIN 1PT C/PIA ESP</x:v>
      </x:c>
      <x:c r="E201" s="10"/>
      <x:c r="F201" s="10"/>
      <x:c r="G201" s="10"/>
      <x:c r="H201" s="10"/>
      <x:c r="I201" s="5"/>
      <x:c r="J201" s="10"/>
      <x:c r="K201" s="10"/>
      <x:c r="L201" s="10"/>
      <x:c r="M201" s="10"/>
      <x:c r="N201" s="10"/>
      <x:c r="O201" s="7" t="n">
        <x:f t="shared" si="1">SUM(E201:N201)</x:f>
        <x:v>0</x:v>
      </x:c>
      <x:c r="P201" s="7" t="n">
        <x:v>52</x:v>
      </x:c>
      <x:c r="Q201" s="12" t="n">
        <x:f t="shared" si="3">O201-P201</x:f>
        <x:v>-52</x:v>
      </x:c>
      <x:c r="R201" s="13"/>
      <x:c r="S201" s="12"/>
      <x:c r="T201" s="13"/>
      <x:c r="U201" s="13"/>
    </x:row>
    <x:row r="202">
      <x:c r="A202" s="5" t="n">
        <x:v>75329</x:v>
      </x:c>
      <x:c r="B202" s="5" t="n">
        <x:v>605</x:v>
      </x:c>
      <x:c r="C202" s="5" t="n">
        <x:v>2</x:v>
      </x:c>
      <x:c r="D202" s="6" t="str">
        <x:v>FRITADEIRA MIDEA AIR FRYER WIDEMAX 5,5L 1900W</x:v>
      </x:c>
      <x:c r="E202" s="10"/>
      <x:c r="F202" s="10"/>
      <x:c r="G202" s="10"/>
      <x:c r="H202" s="10"/>
      <x:c r="I202" s="5"/>
      <x:c r="J202" s="5"/>
      <x:c r="K202" s="10"/>
      <x:c r="L202" s="5"/>
      <x:c r="M202" s="5"/>
      <x:c r="N202" s="5"/>
      <x:c r="O202" s="7" t="n">
        <x:f t="shared" si="1">SUM(E202:N202)</x:f>
        <x:v>0</x:v>
      </x:c>
      <x:c r="P202" s="7" t="n">
        <x:v>329</x:v>
      </x:c>
      <x:c r="Q202" s="12" t="n">
        <x:f t="shared" si="3">O202-P202</x:f>
        <x:v>-329</x:v>
      </x:c>
      <x:c r="R202" s="16"/>
      <x:c r="S202" s="7"/>
      <x:c r="T202" s="16"/>
      <x:c r="U202" s="16"/>
    </x:row>
    <x:row r="203">
      <x:c r="A203" s="5" t="n">
        <x:v>75367</x:v>
      </x:c>
      <x:c r="B203" s="5" t="n">
        <x:v>3</x:v>
      </x:c>
      <x:c r="C203" s="5" t="n">
        <x:v>0</x:v>
      </x:c>
      <x:c r="D203" s="6" t="str">
        <x:v>TANQUE RORATO GRANITADO DUPLO 1,10</x:v>
      </x:c>
      <x:c r="E203" s="10"/>
      <x:c r="F203" s="10"/>
      <x:c r="G203" s="10"/>
      <x:c r="H203" s="10"/>
      <x:c r="I203" s="5"/>
      <x:c r="J203" s="10"/>
      <x:c r="K203" s="10"/>
      <x:c r="L203" s="10"/>
      <x:c r="M203" s="10"/>
      <x:c r="N203" s="10"/>
      <x:c r="O203" s="7" t="n">
        <x:f t="shared" si="1">SUM(E203:N203)</x:f>
        <x:v>0</x:v>
      </x:c>
      <x:c r="P203" s="7" t="n">
        <x:v>32</x:v>
      </x:c>
      <x:c r="Q203" s="12" t="n">
        <x:f t="shared" si="3">O203-P203</x:f>
        <x:v>-32</x:v>
      </x:c>
      <x:c r="R203" s="13"/>
      <x:c r="S203" s="12"/>
      <x:c r="T203" s="13"/>
      <x:c r="U203" s="13"/>
    </x:row>
    <x:row r="204">
      <x:c r="A204" s="5" t="n">
        <x:v>75368</x:v>
      </x:c>
      <x:c r="B204" s="5" t="n">
        <x:v>3</x:v>
      </x:c>
      <x:c r="C204" s="5" t="n">
        <x:v>0</x:v>
      </x:c>
      <x:c r="D204" s="6" t="str">
        <x:v>TANQUE RORATO GRANITADO TRIPLO 1,45</x:v>
      </x:c>
      <x:c r="E204" s="10"/>
      <x:c r="F204" s="10"/>
      <x:c r="G204" s="10"/>
      <x:c r="H204" s="10"/>
      <x:c r="I204" s="5"/>
      <x:c r="J204" s="10"/>
      <x:c r="K204" s="10"/>
      <x:c r="L204" s="10"/>
      <x:c r="M204" s="10"/>
      <x:c r="N204" s="10"/>
      <x:c r="O204" s="7" t="n">
        <x:f t="shared" si="1">SUM(E204:N204)</x:f>
        <x:v>0</x:v>
      </x:c>
      <x:c r="P204" s="7" t="n">
        <x:v>34</x:v>
      </x:c>
      <x:c r="Q204" s="12" t="n">
        <x:f t="shared" si="3">O204-P204</x:f>
        <x:v>-34</x:v>
      </x:c>
      <x:c r="R204" s="13"/>
      <x:c r="S204" s="12"/>
      <x:c r="T204" s="13"/>
      <x:c r="U204" s="13"/>
    </x:row>
    <x:row r="205">
      <x:c r="A205" s="5" t="n">
        <x:v>75369</x:v>
      </x:c>
      <x:c r="B205" s="5" t="n">
        <x:v>3</x:v>
      </x:c>
      <x:c r="C205" s="5" t="n">
        <x:v>0</x:v>
      </x:c>
      <x:c r="D205" s="6" t="str">
        <x:v>TANQUE RORATO GRANITADO 1 BOJO 60X60</x:v>
      </x:c>
      <x:c r="E205" s="10"/>
      <x:c r="F205" s="10"/>
      <x:c r="G205" s="10"/>
      <x:c r="H205" s="10"/>
      <x:c r="I205" s="5"/>
      <x:c r="J205" s="10"/>
      <x:c r="K205" s="10"/>
      <x:c r="L205" s="10"/>
      <x:c r="M205" s="10"/>
      <x:c r="N205" s="10"/>
      <x:c r="O205" s="7" t="n">
        <x:f t="shared" si="1">SUM(E205:N205)</x:f>
        <x:v>0</x:v>
      </x:c>
      <x:c r="P205" s="7" t="n">
        <x:v>34</x:v>
      </x:c>
      <x:c r="Q205" s="12" t="n">
        <x:f t="shared" si="3">O205-P205</x:f>
        <x:v>-34</x:v>
      </x:c>
      <x:c r="R205" s="13"/>
      <x:c r="S205" s="12"/>
      <x:c r="T205" s="13"/>
      <x:c r="U205" s="13"/>
    </x:row>
    <x:row r="206">
      <x:c r="A206" s="5" t="n">
        <x:v>75370</x:v>
      </x:c>
      <x:c r="B206" s="5" t="n">
        <x:v>3</x:v>
      </x:c>
      <x:c r="C206" s="5" t="n">
        <x:v>0</x:v>
      </x:c>
      <x:c r="D206" s="6" t="str">
        <x:v>TAMPO RORATO GRANITADO 1,20X0,53</x:v>
      </x:c>
      <x:c r="E206" s="10"/>
      <x:c r="F206" s="10"/>
      <x:c r="G206" s="10"/>
      <x:c r="H206" s="10"/>
      <x:c r="I206" s="5"/>
      <x:c r="J206" s="10"/>
      <x:c r="K206" s="10"/>
      <x:c r="L206" s="10"/>
      <x:c r="M206" s="10"/>
      <x:c r="N206" s="10"/>
      <x:c r="O206" s="7" t="n">
        <x:f t="shared" si="1">SUM(E206:N206)</x:f>
        <x:v>0</x:v>
      </x:c>
      <x:c r="P206" s="7" t="n">
        <x:v>30</x:v>
      </x:c>
      <x:c r="Q206" s="12" t="n">
        <x:f t="shared" si="3">O206-P206</x:f>
        <x:v>-30</x:v>
      </x:c>
      <x:c r="R206" s="13"/>
      <x:c r="S206" s="12"/>
      <x:c r="T206" s="13"/>
      <x:c r="U206" s="13"/>
    </x:row>
    <x:row r="207">
      <x:c r="A207" s="5" t="n">
        <x:v>75370</x:v>
      </x:c>
      <x:c r="B207" s="5" t="n">
        <x:v>565</x:v>
      </x:c>
      <x:c r="C207" s="5" t="n">
        <x:v>0</x:v>
      </x:c>
      <x:c r="D207" s="6" t="str">
        <x:v>TAMPO RORATO GRANITADO 1,20X0,53</x:v>
      </x:c>
      <x:c r="E207" s="10"/>
      <x:c r="F207" s="10"/>
      <x:c r="G207" s="10"/>
      <x:c r="H207" s="10"/>
      <x:c r="I207" s="5"/>
      <x:c r="J207" s="10"/>
      <x:c r="K207" s="10"/>
      <x:c r="L207" s="10"/>
      <x:c r="M207" s="10"/>
      <x:c r="N207" s="10"/>
      <x:c r="O207" s="7" t="n">
        <x:f t="shared" si="1">SUM(E207:N207)</x:f>
        <x:v>0</x:v>
      </x:c>
      <x:c r="P207" s="7" t="n">
        <x:v>20</x:v>
      </x:c>
      <x:c r="Q207" s="12" t="n">
        <x:f t="shared" si="3">O207-P207</x:f>
        <x:v>-20</x:v>
      </x:c>
      <x:c r="R207" s="13"/>
      <x:c r="S207" s="12"/>
      <x:c r="T207" s="13"/>
      <x:c r="U207" s="13"/>
    </x:row>
    <x:row r="208">
      <x:c r="A208" s="5" t="n">
        <x:v>75400</x:v>
      </x:c>
      <x:c r="B208" s="5" t="n">
        <x:v>3</x:v>
      </x:c>
      <x:c r="C208" s="5" t="n">
        <x:v>4</x:v>
      </x:c>
      <x:c r="D208" s="6" t="str">
        <x:v>TV 32" PHILIPS SMART HD 32PHG6910/78</x:v>
      </x:c>
      <x:c r="E208" s="10"/>
      <x:c r="F208" s="10"/>
      <x:c r="G208" s="10"/>
      <x:c r="H208" s="10"/>
      <x:c r="I208" s="5"/>
      <x:c r="J208" s="10"/>
      <x:c r="K208" s="10"/>
      <x:c r="L208" s="10"/>
      <x:c r="M208" s="10"/>
      <x:c r="N208" s="10"/>
      <x:c r="O208" s="7" t="n">
        <x:f t="shared" si="1">SUM(E208:N208)</x:f>
        <x:v>0</x:v>
      </x:c>
      <x:c r="P208" s="7" t="n">
        <x:v>462</x:v>
      </x:c>
      <x:c r="Q208" s="12" t="n">
        <x:f t="shared" si="3">O208-P208</x:f>
        <x:v>-462</x:v>
      </x:c>
      <x:c r="R208" s="13"/>
      <x:c r="S208" s="12"/>
      <x:c r="T208" s="13"/>
      <x:c r="U208" s="13"/>
    </x:row>
    <x:row r="209">
      <x:c r="A209" s="5" t="n">
        <x:v>75402</x:v>
      </x:c>
      <x:c r="B209" s="5" t="n">
        <x:v>3</x:v>
      </x:c>
      <x:c r="C209" s="5" t="n">
        <x:v>4</x:v>
      </x:c>
      <x:c r="D209" s="6" t="str">
        <x:v>CAIXA DE SOM AIWA SPEAKER AWS-SP-05-LB 30W</x:v>
      </x:c>
      <x:c r="E209" s="10"/>
      <x:c r="F209" s="10"/>
      <x:c r="G209" s="10"/>
      <x:c r="H209" s="10"/>
      <x:c r="I209" s="5"/>
      <x:c r="J209" s="10"/>
      <x:c r="K209" s="10"/>
      <x:c r="L209" s="10"/>
      <x:c r="M209" s="10"/>
      <x:c r="N209" s="10"/>
      <x:c r="O209" s="7" t="n">
        <x:f t="shared" si="1">SUM(E209:N209)</x:f>
        <x:v>0</x:v>
      </x:c>
      <x:c r="P209" s="7" t="n">
        <x:v>200</x:v>
      </x:c>
      <x:c r="Q209" s="12" t="n">
        <x:f t="shared" si="3">O209-P209</x:f>
        <x:v>-200</x:v>
      </x:c>
      <x:c r="R209" s="13"/>
      <x:c r="S209" s="12"/>
      <x:c r="T209" s="13"/>
      <x:c r="U209" s="13"/>
    </x:row>
    <x:row r="210">
      <x:c r="A210" s="5" t="n">
        <x:v>75403</x:v>
      </x:c>
      <x:c r="B210" s="5" t="n">
        <x:v>3</x:v>
      </x:c>
      <x:c r="C210" s="5" t="n">
        <x:v>4</x:v>
      </x:c>
      <x:c r="D210" s="6" t="str">
        <x:v>CAIXA DE SOM AIWA SPEAKER AWS-SP-04-LB 40W</x:v>
      </x:c>
      <x:c r="E210" s="10"/>
      <x:c r="F210" s="10"/>
      <x:c r="G210" s="10"/>
      <x:c r="H210" s="10"/>
      <x:c r="I210" s="5"/>
      <x:c r="J210" s="10"/>
      <x:c r="K210" s="10"/>
      <x:c r="L210" s="10"/>
      <x:c r="M210" s="10"/>
      <x:c r="N210" s="10"/>
      <x:c r="O210" s="7" t="n">
        <x:f t="shared" si="1">SUM(E210:N210)</x:f>
        <x:v>0</x:v>
      </x:c>
      <x:c r="P210" s="7" t="n">
        <x:v>233</x:v>
      </x:c>
      <x:c r="Q210" s="12" t="n">
        <x:f t="shared" si="3">O210-P210</x:f>
        <x:v>-233</x:v>
      </x:c>
      <x:c r="R210" s="16"/>
      <x:c r="S210" s="7"/>
      <x:c r="T210" s="16"/>
      <x:c r="U210" s="16"/>
    </x:row>
    <x:row r="211">
      <x:c r="A211" s="5" t="n">
        <x:v>75463</x:v>
      </x:c>
      <x:c r="B211" s="5" t="n">
        <x:v>21</x:v>
      </x:c>
      <x:c r="C211" s="5" t="n">
        <x:v>2</x:v>
      </x:c>
      <x:c r="D211" s="6" t="str">
        <x:v>CLIMATIZADOR MIDEA ACCM 34,5L 110W</x:v>
      </x:c>
      <x:c r="E211" s="10"/>
      <x:c r="F211" s="10"/>
      <x:c r="G211" s="10"/>
      <x:c r="H211" s="5"/>
      <x:c r="I211" s="5"/>
      <x:c r="J211" s="10"/>
      <x:c r="K211" s="10"/>
      <x:c r="L211" s="10"/>
      <x:c r="M211" s="10"/>
      <x:c r="N211" s="10"/>
      <x:c r="O211" s="7" t="n">
        <x:f t="shared" si="1">SUM(E211:N211)</x:f>
        <x:v>0</x:v>
      </x:c>
      <x:c r="P211" s="7" t="n">
        <x:v>340</x:v>
      </x:c>
      <x:c r="Q211" s="12" t="n">
        <x:f t="shared" si="3">O211-P211</x:f>
        <x:v>-340</x:v>
      </x:c>
      <x:c r="R211" s="13"/>
      <x:c r="S211" s="12"/>
      <x:c r="T211" s="13"/>
      <x:c r="U211" s="13"/>
    </x:row>
    <x:row r="212" ht="19.5" customHeight="1">
      <x:c r="A212" s="5" t="n">
        <x:v>75463</x:v>
      </x:c>
      <x:c r="B212" s="5" t="n">
        <x:v>21</x:v>
      </x:c>
      <x:c r="C212" s="5" t="n">
        <x:v>3</x:v>
      </x:c>
      <x:c r="D212" s="6" t="str">
        <x:v>CLIMATIZADOR MIDEA ACCM 34,5L 110W</x:v>
      </x:c>
      <x:c r="E212" s="10"/>
      <x:c r="F212" s="10"/>
      <x:c r="G212" s="10"/>
      <x:c r="H212" s="10"/>
      <x:c r="I212" s="5"/>
      <x:c r="J212" s="10"/>
      <x:c r="K212" s="10"/>
      <x:c r="L212" s="10"/>
      <x:c r="M212" s="10"/>
      <x:c r="N212" s="10"/>
      <x:c r="O212" s="7" t="n">
        <x:f t="shared" si="1">SUM(E212:N212)</x:f>
        <x:v>0</x:v>
      </x:c>
      <x:c r="P212" s="7" t="n">
        <x:v>40</x:v>
      </x:c>
      <x:c r="Q212" s="12" t="n">
        <x:f t="shared" si="3">O212-P212</x:f>
        <x:v>-40</x:v>
      </x:c>
      <x:c r="R212" s="13"/>
      <x:c r="S212" s="12"/>
      <x:c r="T212" s="13"/>
      <x:c r="U212" s="13"/>
    </x:row>
    <x:row r="213">
      <x:c r="A213" s="5" t="n">
        <x:v>75464</x:v>
      </x:c>
      <x:c r="B213" s="5" t="n">
        <x:v>21</x:v>
      </x:c>
      <x:c r="C213" s="5" t="n">
        <x:v>2</x:v>
      </x:c>
      <x:c r="D213" s="6" t="str">
        <x:v>CLIMATIZADOR MIDEA ACCM 76L 210W</x:v>
      </x:c>
      <x:c r="E213" s="10"/>
      <x:c r="F213" s="10"/>
      <x:c r="G213" s="10"/>
      <x:c r="H213" s="5"/>
      <x:c r="I213" s="5"/>
      <x:c r="J213" s="5"/>
      <x:c r="K213" s="10"/>
      <x:c r="L213" s="10"/>
      <x:c r="M213" s="10"/>
      <x:c r="N213" s="10"/>
      <x:c r="O213" s="7" t="n">
        <x:f t="shared" si="1">SUM(E213:N213)</x:f>
        <x:v>0</x:v>
      </x:c>
      <x:c r="P213" s="7" t="n">
        <x:v>306</x:v>
      </x:c>
      <x:c r="Q213" s="12" t="n">
        <x:f t="shared" si="3">O213-P213</x:f>
        <x:v>-306</x:v>
      </x:c>
      <x:c r="R213" s="13"/>
      <x:c r="S213" s="12"/>
      <x:c r="T213" s="13"/>
      <x:c r="U213" s="13"/>
    </x:row>
    <x:row r="214">
      <x:c r="A214" s="5" t="n">
        <x:v>75464</x:v>
      </x:c>
      <x:c r="B214" s="5" t="n">
        <x:v>21</x:v>
      </x:c>
      <x:c r="C214" s="5" t="n">
        <x:v>3</x:v>
      </x:c>
      <x:c r="D214" s="6" t="str">
        <x:v>CLIMATIZADOR MIDEA ACCM 76L 210W</x:v>
      </x:c>
      <x:c r="E214" s="10"/>
      <x:c r="F214" s="10"/>
      <x:c r="G214" s="10"/>
      <x:c r="H214" s="10"/>
      <x:c r="I214" s="5"/>
      <x:c r="J214" s="10"/>
      <x:c r="K214" s="10"/>
      <x:c r="L214" s="10"/>
      <x:c r="M214" s="10"/>
      <x:c r="N214" s="10"/>
      <x:c r="O214" s="7" t="n">
        <x:f t="shared" si="1">SUM(E214:N214)</x:f>
        <x:v>0</x:v>
      </x:c>
      <x:c r="P214" s="7" t="n">
        <x:v>15</x:v>
      </x:c>
      <x:c r="Q214" s="12" t="n">
        <x:f t="shared" si="3">O214-P214</x:f>
        <x:v>-15</x:v>
      </x:c>
      <x:c r="R214" s="13"/>
      <x:c r="S214" s="12"/>
      <x:c r="T214" s="13"/>
      <x:c r="U214" s="13"/>
    </x:row>
    <x:row r="215">
      <x:c r="A215" s="37" t="n">
        <x:v>75480</x:v>
      </x:c>
      <x:c r="B215" s="37" t="n">
        <x:v>1</x:v>
      </x:c>
      <x:c r="C215" s="37" t="n">
        <x:v>2</x:v>
      </x:c>
      <x:c r="D215" s="38" t="str">
        <x:v>REFRIGERADOR MIDEA F.FREE DUPLEX MD-RT533 INVER 394L</x:v>
      </x:c>
      <x:c r="E215" s="39"/>
      <x:c r="F215" s="39"/>
      <x:c r="G215" s="39"/>
      <x:c r="H215" s="40"/>
      <x:c r="I215" s="40"/>
      <x:c r="J215" s="39"/>
      <x:c r="K215" s="39"/>
      <x:c r="L215" s="39"/>
      <x:c r="M215" s="39"/>
      <x:c r="N215" s="39"/>
      <x:c r="O215" s="41" t="n">
        <x:f t="shared" si="1">SUM(E215:N215)</x:f>
        <x:v>0</x:v>
      </x:c>
      <x:c r="P215" s="41" t="n">
        <x:v>11</x:v>
      </x:c>
      <x:c r="Q215" s="42" t="n">
        <x:f t="shared" si="3">O215-P215</x:f>
        <x:v>-11</x:v>
      </x:c>
      <x:c r="R215" s="43"/>
      <x:c r="S215" s="44"/>
      <x:c r="T215" s="43"/>
      <x:c r="U215" s="43"/>
    </x:row>
    <x:row r="216">
      <x:c r="A216" s="5" t="n">
        <x:v>75480</x:v>
      </x:c>
      <x:c r="B216" s="5" t="n">
        <x:v>1</x:v>
      </x:c>
      <x:c r="C216" s="5" t="n">
        <x:v>3</x:v>
      </x:c>
      <x:c r="D216" s="6" t="str">
        <x:v>REFRIGERADOR MIDEA F.FREE DUPLEX MD-RT533 INVER 394L</x:v>
      </x:c>
      <x:c r="E216" s="10"/>
      <x:c r="F216" s="10"/>
      <x:c r="G216" s="10"/>
      <x:c r="H216" s="5"/>
      <x:c r="I216" s="5"/>
      <x:c r="J216" s="10"/>
      <x:c r="K216" s="10"/>
      <x:c r="L216" s="10"/>
      <x:c r="M216" s="10"/>
      <x:c r="N216" s="10"/>
      <x:c r="O216" s="7" t="n">
        <x:f t="shared" si="1">SUM(E216:N216)</x:f>
        <x:v>0</x:v>
      </x:c>
      <x:c r="P216" s="7" t="n">
        <x:v>25</x:v>
      </x:c>
      <x:c r="Q216" s="12" t="n">
        <x:f t="shared" si="3">O216-P216</x:f>
        <x:v>-25</x:v>
      </x:c>
      <x:c r="R216" s="13"/>
      <x:c r="S216" s="12"/>
      <x:c r="T216" s="13"/>
      <x:c r="U216" s="13"/>
    </x:row>
    <x:row r="217">
      <x:c r="A217" s="5" t="n">
        <x:v>75481</x:v>
      </x:c>
      <x:c r="B217" s="5" t="n">
        <x:v>4</x:v>
      </x:c>
      <x:c r="C217" s="5" t="n">
        <x:v>2</x:v>
      </x:c>
      <x:c r="D217" s="6" t="str">
        <x:v>REFRIGERADOR MIDEA F.FREE DUPLEX MD-RT533 INVER 394L</x:v>
      </x:c>
      <x:c r="E217" s="10"/>
      <x:c r="F217" s="10"/>
      <x:c r="G217" s="10"/>
      <x:c r="H217" s="5"/>
      <x:c r="I217" s="5"/>
      <x:c r="J217" s="10"/>
      <x:c r="K217" s="10"/>
      <x:c r="L217" s="10"/>
      <x:c r="M217" s="10"/>
      <x:c r="N217" s="10"/>
      <x:c r="O217" s="7" t="n">
        <x:f t="shared" si="1">SUM(E217:N217)</x:f>
        <x:v>0</x:v>
      </x:c>
      <x:c r="P217" s="7" t="n">
        <x:v>454</x:v>
      </x:c>
      <x:c r="Q217" s="12" t="n">
        <x:f t="shared" si="3">O217-P217</x:f>
        <x:v>-454</x:v>
      </x:c>
      <x:c r="R217" s="13"/>
      <x:c r="S217" s="12"/>
      <x:c r="T217" s="13"/>
      <x:c r="U217" s="13"/>
    </x:row>
    <x:row r="218">
      <x:c r="A218" s="5" t="n">
        <x:v>75481</x:v>
      </x:c>
      <x:c r="B218" s="5" t="n">
        <x:v>4</x:v>
      </x:c>
      <x:c r="C218" s="5" t="n">
        <x:v>3</x:v>
      </x:c>
      <x:c r="D218" s="6" t="str">
        <x:v>REFRIGERADOR MIDEA F.FREE DUPLEX MD-RT533 INVER 394L</x:v>
      </x:c>
      <x:c r="E218" s="10"/>
      <x:c r="F218" s="10"/>
      <x:c r="G218" s="10"/>
      <x:c r="H218" s="5"/>
      <x:c r="I218" s="5"/>
      <x:c r="J218" s="10"/>
      <x:c r="K218" s="10"/>
      <x:c r="L218" s="10"/>
      <x:c r="M218" s="10"/>
      <x:c r="N218" s="10"/>
      <x:c r="O218" s="7" t="n">
        <x:f t="shared" si="1">SUM(E218:N218)</x:f>
        <x:v>0</x:v>
      </x:c>
      <x:c r="P218" s="7" t="n">
        <x:v>37</x:v>
      </x:c>
      <x:c r="Q218" s="12" t="n">
        <x:f t="shared" si="3">O218-P218</x:f>
        <x:v>-37</x:v>
      </x:c>
      <x:c r="R218" s="13"/>
      <x:c r="S218" s="12"/>
      <x:c r="T218" s="13"/>
      <x:c r="U218" s="13"/>
    </x:row>
    <x:row r="219">
      <x:c r="A219" s="5" t="n">
        <x:v>75482</x:v>
      </x:c>
      <x:c r="B219" s="5" t="n">
        <x:v>1</x:v>
      </x:c>
      <x:c r="C219" s="5" t="n">
        <x:v>4</x:v>
      </x:c>
      <x:c r="D219" s="6" t="str">
        <x:v>REFRIGERADOR MIDEA F.FREE DUPLEX MD-RT572 INVER BIV 425L</x:v>
      </x:c>
      <x:c r="E219" s="10"/>
      <x:c r="F219" s="10"/>
      <x:c r="G219" s="10"/>
      <x:c r="H219" s="5"/>
      <x:c r="I219" s="5"/>
      <x:c r="J219" s="10"/>
      <x:c r="K219" s="10"/>
      <x:c r="L219" s="10"/>
      <x:c r="M219" s="10"/>
      <x:c r="N219" s="10"/>
      <x:c r="O219" s="7" t="n">
        <x:f t="shared" si="1">SUM(E219:N219)</x:f>
        <x:v>0</x:v>
      </x:c>
      <x:c r="P219" s="7" t="n">
        <x:v>424</x:v>
      </x:c>
      <x:c r="Q219" s="12" t="n">
        <x:f t="shared" si="3">O219-P219</x:f>
        <x:v>-424</x:v>
      </x:c>
      <x:c r="R219" s="13"/>
      <x:c r="S219" s="12"/>
      <x:c r="T219" s="13"/>
      <x:c r="U219" s="13"/>
    </x:row>
    <x:row r="220">
      <x:c r="A220" s="5" t="n">
        <x:v>75483</x:v>
      </x:c>
      <x:c r="B220" s="5" t="n">
        <x:v>4</x:v>
      </x:c>
      <x:c r="C220" s="5" t="n">
        <x:v>4</x:v>
      </x:c>
      <x:c r="D220" s="6" t="str">
        <x:v>REFRIGERADOR MIDEA F.FREE DUPLEX MD-RT572 INVER BIV 425L</x:v>
      </x:c>
      <x:c r="E220" s="10"/>
      <x:c r="F220" s="10"/>
      <x:c r="G220" s="10"/>
      <x:c r="H220" s="5"/>
      <x:c r="I220" s="5"/>
      <x:c r="J220" s="10"/>
      <x:c r="K220" s="10"/>
      <x:c r="L220" s="10"/>
      <x:c r="M220" s="10"/>
      <x:c r="N220" s="10"/>
      <x:c r="O220" s="7" t="n">
        <x:f t="shared" si="1">SUM(E220:N220)</x:f>
        <x:v>0</x:v>
      </x:c>
      <x:c r="P220" s="7" t="n">
        <x:v>509</x:v>
      </x:c>
      <x:c r="Q220" s="12" t="n">
        <x:f t="shared" si="3">O220-P220</x:f>
        <x:v>-509</x:v>
      </x:c>
      <x:c r="R220" s="13"/>
      <x:c r="S220" s="12"/>
      <x:c r="T220" s="13"/>
      <x:c r="U220" s="13"/>
    </x:row>
    <x:row r="221">
      <x:c r="A221" s="5" t="n">
        <x:v>75484</x:v>
      </x:c>
      <x:c r="B221" s="5" t="n">
        <x:v>1</x:v>
      </x:c>
      <x:c r="C221" s="5" t="n">
        <x:v>2</x:v>
      </x:c>
      <x:c r="D221" s="6" t="str">
        <x:v>REFRIGERADOR CONSUL CRM50MB F.FREE 412L</x:v>
      </x:c>
      <x:c r="E221" s="5"/>
      <x:c r="F221" s="5"/>
      <x:c r="G221" s="10"/>
      <x:c r="H221" s="5"/>
      <x:c r="I221" s="5"/>
      <x:c r="J221" s="10"/>
      <x:c r="K221" s="10"/>
      <x:c r="L221" s="5" t="n">
        <x:v>1</x:v>
      </x:c>
      <x:c r="M221" s="5"/>
      <x:c r="N221" s="5"/>
      <x:c r="O221" s="7" t="n">
        <x:f t="shared" si="1">SUM(E221:N221)</x:f>
        <x:v>1</x:v>
      </x:c>
      <x:c r="P221" s="7" t="n">
        <x:v>202</x:v>
      </x:c>
      <x:c r="Q221" s="12" t="n">
        <x:f t="shared" si="3">O221-P221</x:f>
        <x:v>-201</x:v>
      </x:c>
      <x:c r="R221" s="16"/>
      <x:c r="S221" s="12"/>
      <x:c r="T221" s="13"/>
      <x:c r="U221" s="13"/>
    </x:row>
    <x:row r="222">
      <x:c r="A222" s="5" t="n">
        <x:v>75484</x:v>
      </x:c>
      <x:c r="B222" s="5" t="n">
        <x:v>1</x:v>
      </x:c>
      <x:c r="C222" s="5" t="n">
        <x:v>3</x:v>
      </x:c>
      <x:c r="D222" s="6" t="str">
        <x:v>REFRIGERADOR CONSUL CRM50MB F.FREE 412L</x:v>
      </x:c>
      <x:c r="E222" s="10"/>
      <x:c r="F222" s="10"/>
      <x:c r="G222" s="10"/>
      <x:c r="H222" s="5"/>
      <x:c r="I222" s="5"/>
      <x:c r="J222" s="10"/>
      <x:c r="K222" s="10"/>
      <x:c r="L222" s="10"/>
      <x:c r="M222" s="10"/>
      <x:c r="N222" s="10"/>
      <x:c r="O222" s="7" t="n">
        <x:f t="shared" si="1">SUM(E222:N222)</x:f>
        <x:v>0</x:v>
      </x:c>
      <x:c r="P222" s="7" t="n">
        <x:v>41</x:v>
      </x:c>
      <x:c r="Q222" s="12" t="n">
        <x:f t="shared" si="3">O222-P222</x:f>
        <x:v>-41</x:v>
      </x:c>
      <x:c r="R222" s="13"/>
      <x:c r="S222" s="12"/>
      <x:c r="T222" s="13"/>
      <x:c r="U222" s="13"/>
    </x:row>
    <x:row r="223">
      <x:c r="A223" s="5" t="n">
        <x:v>75491</x:v>
      </x:c>
      <x:c r="B223" s="5" t="n">
        <x:v>1</x:v>
      </x:c>
      <x:c r="C223" s="5" t="n">
        <x:v>2</x:v>
      </x:c>
      <x:c r="D223" s="6" t="str">
        <x:v>LAVADORA BRASTEMP BWJ14AB 14KG</x:v>
      </x:c>
      <x:c r="E223" s="10"/>
      <x:c r="F223" s="10"/>
      <x:c r="G223" s="10"/>
      <x:c r="H223" s="5"/>
      <x:c r="I223" s="5"/>
      <x:c r="J223" s="10"/>
      <x:c r="K223" s="10"/>
      <x:c r="L223" s="10"/>
      <x:c r="M223" s="5"/>
      <x:c r="N223" s="5"/>
      <x:c r="O223" s="7" t="n">
        <x:f t="shared" si="1">SUM(E223:N223)</x:f>
        <x:v>0</x:v>
      </x:c>
      <x:c r="P223" s="7" t="n">
        <x:v>414</x:v>
      </x:c>
      <x:c r="Q223" s="12" t="n">
        <x:f t="shared" si="3">O223-P223</x:f>
        <x:v>-414</x:v>
      </x:c>
      <x:c r="R223" s="16"/>
      <x:c r="S223" s="7"/>
      <x:c r="T223" s="16"/>
      <x:c r="U223" s="16"/>
    </x:row>
    <x:row r="224">
      <x:c r="A224" s="5" t="n">
        <x:v>75491</x:v>
      </x:c>
      <x:c r="B224" s="5" t="n">
        <x:v>1</x:v>
      </x:c>
      <x:c r="C224" s="5" t="n">
        <x:v>3</x:v>
      </x:c>
      <x:c r="D224" s="6" t="str">
        <x:v>LAVADORA BRASTEMP BWJ14AB 14KG</x:v>
      </x:c>
      <x:c r="E224" s="10"/>
      <x:c r="F224" s="10"/>
      <x:c r="G224" s="10"/>
      <x:c r="H224" s="5"/>
      <x:c r="I224" s="5"/>
      <x:c r="J224" s="10"/>
      <x:c r="K224" s="10"/>
      <x:c r="L224" s="10"/>
      <x:c r="M224" s="10"/>
      <x:c r="N224" s="10"/>
      <x:c r="O224" s="7" t="n">
        <x:f t="shared" si="1">SUM(E224:N224)</x:f>
        <x:v>0</x:v>
      </x:c>
      <x:c r="P224" s="7" t="n">
        <x:v>100</x:v>
      </x:c>
      <x:c r="Q224" s="12" t="n">
        <x:f t="shared" si="3">O224-P224</x:f>
        <x:v>-100</x:v>
      </x:c>
      <x:c r="R224" s="13"/>
      <x:c r="S224" s="12"/>
      <x:c r="T224" s="13"/>
      <x:c r="U224" s="13"/>
    </x:row>
    <x:row r="225">
      <x:c r="A225" s="5" t="n">
        <x:v>75815</x:v>
      </x:c>
      <x:c r="B225" s="5" t="n">
        <x:v>1</x:v>
      </x:c>
      <x:c r="C225" s="5" t="n">
        <x:v>4</x:v>
      </x:c>
      <x:c r="D225" s="6" t="str">
        <x:v>FRIGOBAR MIDEA INVER 93L MDRD142 BIV</x:v>
      </x:c>
      <x:c r="E225" s="10"/>
      <x:c r="F225" s="10"/>
      <x:c r="G225" s="10"/>
      <x:c r="H225" s="10"/>
      <x:c r="I225" s="5"/>
      <x:c r="J225" s="10"/>
      <x:c r="K225" s="10"/>
      <x:c r="L225" s="10"/>
      <x:c r="M225" s="10"/>
      <x:c r="N225" s="10"/>
      <x:c r="O225" s="7" t="n">
        <x:f t="shared" si="1">SUM(E225:N225)</x:f>
        <x:v>0</x:v>
      </x:c>
      <x:c r="P225" s="7" t="n">
        <x:v>1</x:v>
      </x:c>
      <x:c r="Q225" s="12" t="n">
        <x:f t="shared" si="3">O225-P225</x:f>
        <x:v>-1</x:v>
      </x:c>
      <x:c r="R225" s="13"/>
      <x:c r="S225" s="12"/>
      <x:c r="T225" s="13"/>
      <x:c r="U225" s="13"/>
    </x:row>
    <x:row r="226">
      <x:c r="A226" s="5" t="n">
        <x:v>75816</x:v>
      </x:c>
      <x:c r="B226" s="5" t="n">
        <x:v>1</x:v>
      </x:c>
      <x:c r="C226" s="5" t="n">
        <x:v>4</x:v>
      </x:c>
      <x:c r="D226" s="6" t="str">
        <x:v>FRIGOBAR MIDEA INVER 67L MDRD108 BIV</x:v>
      </x:c>
      <x:c r="E226" s="10"/>
      <x:c r="F226" s="10"/>
      <x:c r="G226" s="10"/>
      <x:c r="H226" s="5"/>
      <x:c r="I226" s="5" t="n">
        <x:v>3</x:v>
      </x:c>
      <x:c r="J226" s="10"/>
      <x:c r="K226" s="10"/>
      <x:c r="L226" s="10"/>
      <x:c r="M226" s="10"/>
      <x:c r="N226" s="10"/>
      <x:c r="O226" s="7" t="n">
        <x:f t="shared" si="1">SUM(E226:N226)</x:f>
        <x:v>3</x:v>
      </x:c>
      <x:c r="P226" s="7" t="n">
        <x:v>7</x:v>
      </x:c>
      <x:c r="Q226" s="12" t="n">
        <x:f t="shared" si="3">O226-P226</x:f>
        <x:v>-4</x:v>
      </x:c>
      <x:c r="R226" s="13"/>
      <x:c r="S226" s="12"/>
      <x:c r="T226" s="13"/>
      <x:c r="U226" s="13"/>
    </x:row>
    <x:row r="227">
      <x:c r="A227" s="5" t="n">
        <x:v>75817</x:v>
      </x:c>
      <x:c r="B227" s="5" t="n">
        <x:v>1</x:v>
      </x:c>
      <x:c r="C227" s="5" t="n">
        <x:v>4</x:v>
      </x:c>
      <x:c r="D227" s="6" t="str">
        <x:v>FRIGOBAR MIDEA INVER 45L MDRD086 BIV</x:v>
      </x:c>
      <x:c r="E227" s="29"/>
      <x:c r="F227" s="29"/>
      <x:c r="G227" s="29"/>
      <x:c r="H227" s="30"/>
      <x:c r="I227" s="30"/>
      <x:c r="J227" s="10"/>
      <x:c r="K227" s="10"/>
      <x:c r="L227" s="10"/>
      <x:c r="M227" s="10"/>
      <x:c r="N227" s="10"/>
      <x:c r="O227" s="31" t="n">
        <x:f t="shared" si="1">SUM(E227:N227)</x:f>
        <x:v>0</x:v>
      </x:c>
      <x:c r="P227" s="31" t="n">
        <x:v>38</x:v>
      </x:c>
      <x:c r="Q227" s="32" t="n">
        <x:f t="shared" si="3">O227-P227</x:f>
        <x:v>-38</x:v>
      </x:c>
      <x:c r="R227" s="13"/>
      <x:c r="S227" s="12"/>
      <x:c r="T227" s="13"/>
      <x:c r="U227" s="13"/>
    </x:row>
    <x:row r="228">
      <x:c r="A228" s="5" t="n">
        <x:v>75819</x:v>
      </x:c>
      <x:c r="B228" s="5" t="n">
        <x:v>1</x:v>
      </x:c>
      <x:c r="C228" s="5" t="n">
        <x:v>2</x:v>
      </x:c>
      <x:c r="D228" s="6" t="str">
        <x:v>FREEZER CONSUL VERT CVU20MB 189L</x:v>
      </x:c>
      <x:c r="E228" s="10"/>
      <x:c r="F228" s="10"/>
      <x:c r="G228" s="5"/>
      <x:c r="H228" s="10"/>
      <x:c r="I228" s="5"/>
      <x:c r="J228" s="10"/>
      <x:c r="K228" s="10"/>
      <x:c r="L228" s="10"/>
      <x:c r="M228" s="10"/>
      <x:c r="N228" s="10"/>
      <x:c r="O228" s="7" t="n">
        <x:f t="shared" si="1">SUM(E228:N228)</x:f>
        <x:v>0</x:v>
      </x:c>
      <x:c r="P228" s="7" t="n">
        <x:v>1</x:v>
      </x:c>
      <x:c r="Q228" s="12" t="n">
        <x:f t="shared" si="3">O228-P228</x:f>
        <x:v>-1</x:v>
      </x:c>
      <x:c r="R228" s="13"/>
      <x:c r="S228" s="12"/>
      <x:c r="T228" s="13"/>
      <x:c r="U228" s="13"/>
    </x:row>
    <x:row r="229">
      <x:c r="A229" s="5" t="n">
        <x:v>75838</x:v>
      </x:c>
      <x:c r="B229" s="5" t="n">
        <x:v>1</x:v>
      </x:c>
      <x:c r="C229" s="5" t="n">
        <x:v>2</x:v>
      </x:c>
      <x:c r="D229" s="6" t="str">
        <x:v>REFRIGERADOR CONSUL CRD37MB 332L</x:v>
      </x:c>
      <x:c r="E229" s="10"/>
      <x:c r="F229" s="10"/>
      <x:c r="G229" s="10"/>
      <x:c r="H229" s="5"/>
      <x:c r="I229" s="5" t="n">
        <x:v>315</x:v>
      </x:c>
      <x:c r="J229" s="10"/>
      <x:c r="K229" s="10"/>
      <x:c r="L229" s="5" t="n">
        <x:v>1</x:v>
      </x:c>
      <x:c r="M229" s="10"/>
      <x:c r="N229" s="10"/>
      <x:c r="O229" s="7" t="n">
        <x:f t="shared" si="1">SUM(E229:N229)</x:f>
        <x:v>316</x:v>
      </x:c>
      <x:c r="P229" s="7" t="n">
        <x:v>398</x:v>
      </x:c>
      <x:c r="Q229" s="12" t="n">
        <x:f t="shared" si="3">O229-P229</x:f>
        <x:v>-82</x:v>
      </x:c>
      <x:c r="R229" s="16"/>
      <x:c r="S229" s="7"/>
      <x:c r="T229" s="16"/>
      <x:c r="U229" s="16"/>
    </x:row>
    <x:row r="230">
      <x:c r="A230" s="5" t="n">
        <x:v>75838</x:v>
      </x:c>
      <x:c r="B230" s="5" t="n">
        <x:v>1</x:v>
      </x:c>
      <x:c r="C230" s="5" t="n">
        <x:v>3</x:v>
      </x:c>
      <x:c r="D230" s="6" t="str">
        <x:v>REFRIGERADOR CONSUL CRD37MB 332L</x:v>
      </x:c>
      <x:c r="E230" s="10"/>
      <x:c r="F230" s="10"/>
      <x:c r="G230" s="10"/>
      <x:c r="H230" s="5"/>
      <x:c r="I230" s="5"/>
      <x:c r="J230" s="10"/>
      <x:c r="K230" s="10"/>
      <x:c r="L230" s="10"/>
      <x:c r="M230" s="10"/>
      <x:c r="N230" s="10"/>
      <x:c r="O230" s="7" t="n">
        <x:f t="shared" si="1">SUM(E230:N230)</x:f>
        <x:v>0</x:v>
      </x:c>
      <x:c r="P230" s="7" t="n">
        <x:v>38</x:v>
      </x:c>
      <x:c r="Q230" s="12" t="n">
        <x:f t="shared" si="3">O230-P230</x:f>
        <x:v>-38</x:v>
      </x:c>
      <x:c r="R230" s="13"/>
      <x:c r="S230" s="12"/>
      <x:c r="T230" s="13"/>
      <x:c r="U230" s="13"/>
    </x:row>
    <x:row r="231">
      <x:c r="A231" s="5" t="n">
        <x:v>76298</x:v>
      </x:c>
      <x:c r="B231" s="5" t="n">
        <x:v>20</x:v>
      </x:c>
      <x:c r="C231" s="5" t="n">
        <x:v>4</x:v>
      </x:c>
      <x:c r="D231" s="6" t="str">
        <x:v>TV 32" PHILCO SMART LED ROKU DOLBY AUDIO P32CRB</x:v>
      </x:c>
      <x:c r="E231" s="5"/>
      <x:c r="F231" s="5"/>
      <x:c r="G231" s="10"/>
      <x:c r="H231" s="10"/>
      <x:c r="I231" s="5"/>
      <x:c r="J231" s="10"/>
      <x:c r="K231" s="10"/>
      <x:c r="L231" s="10"/>
      <x:c r="M231" s="10"/>
      <x:c r="N231" s="10"/>
      <x:c r="O231" s="7" t="n">
        <x:f t="shared" si="1">SUM(E231:N231)</x:f>
        <x:v>0</x:v>
      </x:c>
      <x:c r="P231" s="7" t="n">
        <x:v>414</x:v>
      </x:c>
      <x:c r="Q231" s="12" t="n">
        <x:f t="shared" si="3">O231-P231</x:f>
        <x:v>-414</x:v>
      </x:c>
      <x:c r="R231" s="13"/>
      <x:c r="S231" s="12"/>
      <x:c r="T231" s="13"/>
      <x:c r="U231" s="13"/>
    </x:row>
    <x:row r="232">
      <x:c r="A232" s="5" t="n">
        <x:v>76300</x:v>
      </x:c>
      <x:c r="B232" s="5" t="n">
        <x:v>1</x:v>
      </x:c>
      <x:c r="C232" s="5" t="n">
        <x:v>4</x:v>
      </x:c>
      <x:c r="D232" s="6" t="str">
        <x:v>FREEZER MIDEA HORIZ INVER MDRC280 198L BIV</x:v>
      </x:c>
      <x:c r="E232" s="10"/>
      <x:c r="F232" s="10"/>
      <x:c r="G232" s="10"/>
      <x:c r="H232" s="5"/>
      <x:c r="I232" s="5"/>
      <x:c r="J232" s="10"/>
      <x:c r="K232" s="10"/>
      <x:c r="L232" s="10"/>
      <x:c r="M232" s="10"/>
      <x:c r="N232" s="10"/>
      <x:c r="O232" s="7" t="n">
        <x:f t="shared" si="1">SUM(E232:N232)</x:f>
        <x:v>0</x:v>
      </x:c>
      <x:c r="P232" s="7" t="n">
        <x:v>115</x:v>
      </x:c>
      <x:c r="Q232" s="12" t="n">
        <x:f t="shared" si="3">O232-P232</x:f>
        <x:v>-115</x:v>
      </x:c>
      <x:c r="R232" s="16"/>
      <x:c r="S232" s="12"/>
      <x:c r="T232" s="13"/>
      <x:c r="U232" s="13"/>
    </x:row>
    <x:row r="233">
      <x:c r="A233" s="5" t="n">
        <x:v>76301</x:v>
      </x:c>
      <x:c r="B233" s="5" t="n">
        <x:v>1</x:v>
      </x:c>
      <x:c r="C233" s="5" t="n">
        <x:v>4</x:v>
      </x:c>
      <x:c r="D233" s="6" t="str">
        <x:v>FREEZER MIDEA HORIZ INVER MDRC411 293L BIV</x:v>
      </x:c>
      <x:c r="E233" s="25"/>
      <x:c r="F233" s="24"/>
      <x:c r="G233" s="24"/>
      <x:c r="H233" s="25"/>
      <x:c r="I233" s="25"/>
      <x:c r="J233" s="25"/>
      <x:c r="K233" s="24"/>
      <x:c r="L233" s="25" t="n">
        <x:v>1</x:v>
      </x:c>
      <x:c r="M233" s="25"/>
      <x:c r="N233" s="25"/>
      <x:c r="O233" s="26" t="n">
        <x:f t="shared" si="1">SUM(E233:N233)</x:f>
        <x:v>1</x:v>
      </x:c>
      <x:c r="P233" s="26" t="n">
        <x:v>65</x:v>
      </x:c>
      <x:c r="Q233" s="27" t="n">
        <x:f t="shared" si="3">O233-P233</x:f>
        <x:v>-64</x:v>
      </x:c>
      <x:c r="R233" s="16"/>
      <x:c r="S233" s="12"/>
      <x:c r="T233" s="13"/>
      <x:c r="U233" s="13"/>
    </x:row>
    <x:row r="234">
      <x:c r="A234" s="5" t="n">
        <x:v>76302</x:v>
      </x:c>
      <x:c r="B234" s="5" t="n">
        <x:v>1</x:v>
      </x:c>
      <x:c r="C234" s="5" t="n">
        <x:v>4</x:v>
      </x:c>
      <x:c r="D234" s="36" t="str">
        <x:v>FREEZER MIDEA HORIZ INVER MDRC698</x:v>
      </x:c>
      <x:c r="E234" s="24"/>
      <x:c r="F234" s="24"/>
      <x:c r="G234" s="24"/>
      <x:c r="H234" s="24"/>
      <x:c r="I234" s="25"/>
      <x:c r="J234" s="25"/>
      <x:c r="K234" s="24"/>
      <x:c r="L234" s="25"/>
      <x:c r="M234" s="25"/>
      <x:c r="N234" s="25"/>
      <x:c r="O234" s="26" t="n">
        <x:f t="shared" si="1">SUM(E234:N234)</x:f>
        <x:v>0</x:v>
      </x:c>
      <x:c r="P234" s="26" t="n">
        <x:v>85</x:v>
      </x:c>
      <x:c r="Q234" s="27" t="n">
        <x:f t="shared" si="3">O234-P234</x:f>
        <x:v>-85</x:v>
      </x:c>
      <x:c r="R234" s="13"/>
      <x:c r="S234" s="12"/>
      <x:c r="T234" s="13"/>
      <x:c r="U234" s="13"/>
    </x:row>
    <x:row r="235">
      <x:c r="A235" s="5" t="n">
        <x:v>76330</x:v>
      </x:c>
      <x:c r="B235" s="5" t="n">
        <x:v>3</x:v>
      </x:c>
      <x:c r="C235" s="5" t="n">
        <x:v>4</x:v>
      </x:c>
      <x:c r="D235" s="6" t="str">
        <x:v>TV 50" AOC SMART ROKU UHD 4K 50U6125/78G</x:v>
      </x:c>
      <x:c r="E235" s="24"/>
      <x:c r="F235" s="24"/>
      <x:c r="G235" s="24"/>
      <x:c r="H235" s="25"/>
      <x:c r="I235" s="25"/>
      <x:c r="J235" s="24"/>
      <x:c r="K235" s="24"/>
      <x:c r="L235" s="24"/>
      <x:c r="M235" s="25"/>
      <x:c r="N235" s="25"/>
      <x:c r="O235" s="26" t="n">
        <x:f t="shared" si="1">SUM(E235:N235)</x:f>
        <x:v>0</x:v>
      </x:c>
      <x:c r="P235" s="26" t="n">
        <x:v>49</x:v>
      </x:c>
      <x:c r="Q235" s="27" t="n">
        <x:f t="shared" si="3">O235-P235</x:f>
        <x:v>-49</x:v>
      </x:c>
      <x:c r="R235" s="16"/>
      <x:c r="S235" s="7"/>
      <x:c r="T235" s="16"/>
      <x:c r="U235" s="16"/>
    </x:row>
    <x:row r="236">
      <x:c r="A236" s="5" t="n">
        <x:v>76331</x:v>
      </x:c>
      <x:c r="B236" s="5" t="n">
        <x:v>3</x:v>
      </x:c>
      <x:c r="C236" s="5" t="n">
        <x:v>4</x:v>
      </x:c>
      <x:c r="D236" s="6" t="str">
        <x:v>CAIXA DE SOM PHILIPS PARTY SPEAKER BT 1500W TAX4000</x:v>
      </x:c>
      <x:c r="E236" s="24"/>
      <x:c r="F236" s="24"/>
      <x:c r="G236" s="24"/>
      <x:c r="H236" s="24"/>
      <x:c r="I236" s="25"/>
      <x:c r="J236" s="24"/>
      <x:c r="K236" s="24"/>
      <x:c r="L236" s="24"/>
      <x:c r="M236" s="24"/>
      <x:c r="N236" s="24"/>
      <x:c r="O236" s="26" t="n">
        <x:f t="shared" si="1">SUM(E236:N236)</x:f>
        <x:v>0</x:v>
      </x:c>
      <x:c r="P236" s="26" t="n">
        <x:v>301</x:v>
      </x:c>
      <x:c r="Q236" s="27" t="n">
        <x:f t="shared" si="3">O236-P236</x:f>
        <x:v>-301</x:v>
      </x:c>
      <x:c r="R236" s="13"/>
      <x:c r="S236" s="12"/>
      <x:c r="T236" s="13"/>
      <x:c r="U236" s="13"/>
    </x:row>
    <x:row r="237">
      <x:c r="A237" s="5" t="n">
        <x:v>76376</x:v>
      </x:c>
      <x:c r="B237" s="5" t="n">
        <x:v>1</x:v>
      </x:c>
      <x:c r="C237" s="5" t="n">
        <x:v>2</x:v>
      </x:c>
      <x:c r="D237" s="6" t="str">
        <x:v>REFRIGERADOR ESMALTEC ROC31 PRO INVER 293L</x:v>
      </x:c>
      <x:c r="E237" s="10"/>
      <x:c r="F237" s="10"/>
      <x:c r="G237" s="10"/>
      <x:c r="H237" s="5"/>
      <x:c r="I237" s="5"/>
      <x:c r="J237" s="10"/>
      <x:c r="K237" s="10"/>
      <x:c r="L237" s="10"/>
      <x:c r="M237" s="5"/>
      <x:c r="N237" s="5"/>
      <x:c r="O237" s="7" t="n">
        <x:f t="shared" si="1">SUM(E237:N237)</x:f>
        <x:v>0</x:v>
      </x:c>
      <x:c r="P237" s="7" t="n">
        <x:v>217</x:v>
      </x:c>
      <x:c r="Q237" s="12" t="n">
        <x:f t="shared" si="3">O237-P237</x:f>
        <x:v>-217</x:v>
      </x:c>
      <x:c r="R237" s="13"/>
      <x:c r="S237" s="12"/>
      <x:c r="T237" s="13"/>
      <x:c r="U237" s="13"/>
    </x:row>
    <x:row r="238">
      <x:c r="A238" s="5" t="n">
        <x:v>76376</x:v>
      </x:c>
      <x:c r="B238" s="5" t="n">
        <x:v>1</x:v>
      </x:c>
      <x:c r="C238" s="5" t="n">
        <x:v>3</x:v>
      </x:c>
      <x:c r="D238" s="6" t="str">
        <x:v>REFRIGERADOR ESMALTEC ROC31 PRO INVER 293L</x:v>
      </x:c>
      <x:c r="E238" s="10"/>
      <x:c r="F238" s="10"/>
      <x:c r="G238" s="10"/>
      <x:c r="H238" s="5"/>
      <x:c r="I238" s="5"/>
      <x:c r="J238" s="10"/>
      <x:c r="K238" s="10"/>
      <x:c r="L238" s="10"/>
      <x:c r="M238" s="10"/>
      <x:c r="N238" s="10"/>
      <x:c r="O238" s="7" t="n">
        <x:f t="shared" si="1">SUM(E238:N238)</x:f>
        <x:v>0</x:v>
      </x:c>
      <x:c r="P238" s="7" t="n">
        <x:v>43</x:v>
      </x:c>
      <x:c r="Q238" s="12" t="n">
        <x:f t="shared" si="3">O238-P238</x:f>
        <x:v>-43</x:v>
      </x:c>
      <x:c r="R238" s="13"/>
      <x:c r="S238" s="12"/>
      <x:c r="T238" s="13"/>
      <x:c r="U238" s="13"/>
    </x:row>
    <x:row r="239">
      <x:c r="A239" s="5" t="n">
        <x:v>76377</x:v>
      </x:c>
      <x:c r="B239" s="5" t="n">
        <x:v>1</x:v>
      </x:c>
      <x:c r="C239" s="5" t="n">
        <x:v>2</x:v>
      </x:c>
      <x:c r="D239" s="6" t="str">
        <x:v>REFRIGERADOR ESMALTEC RCD34 PRO 277L</x:v>
      </x:c>
      <x:c r="E239" s="10"/>
      <x:c r="F239" s="10"/>
      <x:c r="G239" s="10"/>
      <x:c r="H239" s="5"/>
      <x:c r="I239" s="5"/>
      <x:c r="J239" s="10"/>
      <x:c r="K239" s="10"/>
      <x:c r="L239" s="10"/>
      <x:c r="M239" s="10"/>
      <x:c r="N239" s="10"/>
      <x:c r="O239" s="7" t="n">
        <x:f t="shared" si="1">SUM(E239:N239)</x:f>
        <x:v>0</x:v>
      </x:c>
      <x:c r="P239" s="7" t="n">
        <x:v>28</x:v>
      </x:c>
      <x:c r="Q239" s="12" t="n">
        <x:f t="shared" si="3">O239-P239</x:f>
        <x:v>-28</x:v>
      </x:c>
      <x:c r="R239" s="13"/>
      <x:c r="S239" s="12"/>
      <x:c r="T239" s="13"/>
      <x:c r="U239" s="13"/>
    </x:row>
    <x:row r="240">
      <x:c r="A240" s="5" t="n">
        <x:v>76377</x:v>
      </x:c>
      <x:c r="B240" s="5" t="n">
        <x:v>1</x:v>
      </x:c>
      <x:c r="C240" s="5" t="n">
        <x:v>3</x:v>
      </x:c>
      <x:c r="D240" s="6" t="str">
        <x:v>REFRIGERADOR ESMALTEC RCD34 PRO 277L</x:v>
      </x:c>
      <x:c r="E240" s="10"/>
      <x:c r="F240" s="10"/>
      <x:c r="G240" s="10"/>
      <x:c r="H240" s="5"/>
      <x:c r="I240" s="5"/>
      <x:c r="J240" s="10"/>
      <x:c r="K240" s="10"/>
      <x:c r="L240" s="10"/>
      <x:c r="M240" s="10"/>
      <x:c r="N240" s="10"/>
      <x:c r="O240" s="7" t="n">
        <x:f t="shared" si="1">SUM(E240:N240)</x:f>
        <x:v>0</x:v>
      </x:c>
      <x:c r="P240" s="7" t="n">
        <x:v>16</x:v>
      </x:c>
      <x:c r="Q240" s="12" t="n">
        <x:f t="shared" si="3">O240-P240</x:f>
        <x:v>-16</x:v>
      </x:c>
      <x:c r="R240" s="13"/>
      <x:c r="S240" s="12"/>
      <x:c r="T240" s="13"/>
      <x:c r="U240" s="13"/>
    </x:row>
    <x:row r="241">
      <x:c r="A241" s="5" t="n">
        <x:v>76481</x:v>
      </x:c>
      <x:c r="B241" s="5" t="n">
        <x:v>1</x:v>
      </x:c>
      <x:c r="C241" s="5" t="n">
        <x:v>2</x:v>
      </x:c>
      <x:c r="D241" s="6" t="str">
        <x:v>REFRIGERADOR MIDEA CYCLE DEFROST DUPLEX RT554 410L</x:v>
      </x:c>
      <x:c r="E241" s="10"/>
      <x:c r="F241" s="10"/>
      <x:c r="G241" s="10"/>
      <x:c r="H241" s="5"/>
      <x:c r="I241" s="5"/>
      <x:c r="J241" s="10"/>
      <x:c r="K241" s="10"/>
      <x:c r="L241" s="5" t="n">
        <x:v>1</x:v>
      </x:c>
      <x:c r="M241" s="10"/>
      <x:c r="N241" s="10"/>
      <x:c r="O241" s="7" t="n">
        <x:f t="shared" si="1">SUM(E241:N241)</x:f>
        <x:v>1</x:v>
      </x:c>
      <x:c r="P241" s="7" t="n">
        <x:v>367</x:v>
      </x:c>
      <x:c r="Q241" s="12" t="n">
        <x:f t="shared" si="3">O241-P241</x:f>
        <x:v>-366</x:v>
      </x:c>
      <x:c r="R241" s="16"/>
      <x:c r="S241" s="7"/>
      <x:c r="T241" s="16"/>
      <x:c r="U241" s="16"/>
    </x:row>
    <x:row r="242">
      <x:c r="A242" s="5" t="n">
        <x:v>76481</x:v>
      </x:c>
      <x:c r="B242" s="5" t="n">
        <x:v>1</x:v>
      </x:c>
      <x:c r="C242" s="5" t="n">
        <x:v>3</x:v>
      </x:c>
      <x:c r="D242" s="6" t="str">
        <x:v>REFRIGERADOR MIDEA CYCLE DEFROST DUPLEX RT554 410L</x:v>
      </x:c>
      <x:c r="E242" s="10"/>
      <x:c r="F242" s="10"/>
      <x:c r="G242" s="10"/>
      <x:c r="H242" s="5"/>
      <x:c r="I242" s="5"/>
      <x:c r="J242" s="10"/>
      <x:c r="K242" s="10"/>
      <x:c r="L242" s="10"/>
      <x:c r="M242" s="10"/>
      <x:c r="N242" s="10"/>
      <x:c r="O242" s="7" t="n">
        <x:f t="shared" si="1">SUM(E242:N242)</x:f>
        <x:v>0</x:v>
      </x:c>
      <x:c r="P242" s="7" t="n">
        <x:v>139</x:v>
      </x:c>
      <x:c r="Q242" s="12" t="n">
        <x:f t="shared" si="3">O242-P242</x:f>
        <x:v>-139</x:v>
      </x:c>
      <x:c r="R242" s="13"/>
      <x:c r="S242" s="12"/>
      <x:c r="T242" s="13"/>
      <x:c r="U242" s="13"/>
    </x:row>
    <x:row r="243">
      <x:c r="A243" s="5" t="n">
        <x:v>76488</x:v>
      </x:c>
      <x:c r="B243" s="5" t="n">
        <x:v>1</x:v>
      </x:c>
      <x:c r="C243" s="5" t="n">
        <x:v>2</x:v>
      </x:c>
      <x:c r="D243" s="6" t="str">
        <x:v>LAVADORA CONSUL CWB10 10KG</x:v>
      </x:c>
      <x:c r="E243" s="10"/>
      <x:c r="F243" s="10"/>
      <x:c r="G243" s="5"/>
      <x:c r="H243" s="5"/>
      <x:c r="I243" s="5"/>
      <x:c r="J243" s="10"/>
      <x:c r="K243" s="10"/>
      <x:c r="L243" s="5" t="n">
        <x:v>1</x:v>
      </x:c>
      <x:c r="M243" s="10"/>
      <x:c r="N243" s="10"/>
      <x:c r="O243" s="7" t="n">
        <x:f t="shared" si="1">SUM(E243:N243)</x:f>
        <x:v>1</x:v>
      </x:c>
      <x:c r="P243" s="7" t="n">
        <x:v>406</x:v>
      </x:c>
      <x:c r="Q243" s="12" t="n">
        <x:f t="shared" si="3">O243-P243</x:f>
        <x:v>-405</x:v>
      </x:c>
      <x:c r="R243" s="13"/>
      <x:c r="S243" s="12"/>
      <x:c r="T243" s="13"/>
      <x:c r="U243" s="13"/>
    </x:row>
    <x:row r="244">
      <x:c r="A244" s="5" t="n">
        <x:v>76488</x:v>
      </x:c>
      <x:c r="B244" s="5" t="n">
        <x:v>1</x:v>
      </x:c>
      <x:c r="C244" s="5" t="n">
        <x:v>3</x:v>
      </x:c>
      <x:c r="D244" s="6" t="str">
        <x:v>LAVADORA CONSUL CWB10 10KG</x:v>
      </x:c>
      <x:c r="E244" s="10"/>
      <x:c r="F244" s="10"/>
      <x:c r="G244" s="5"/>
      <x:c r="H244" s="5"/>
      <x:c r="I244" s="5"/>
      <x:c r="J244" s="10"/>
      <x:c r="K244" s="10"/>
      <x:c r="L244" s="10"/>
      <x:c r="M244" s="10"/>
      <x:c r="N244" s="10"/>
      <x:c r="O244" s="7" t="n">
        <x:f t="shared" si="1">SUM(E244:N244)</x:f>
        <x:v>0</x:v>
      </x:c>
      <x:c r="P244" s="7" t="n">
        <x:v>20</x:v>
      </x:c>
      <x:c r="Q244" s="12" t="n">
        <x:f t="shared" si="3">O244-P244</x:f>
        <x:v>-20</x:v>
      </x:c>
      <x:c r="R244" s="13"/>
      <x:c r="S244" s="12"/>
      <x:c r="T244" s="13"/>
      <x:c r="U244" s="13"/>
    </x:row>
    <x:row r="245">
      <x:c r="A245" s="5" t="n">
        <x:v>76492</x:v>
      </x:c>
      <x:c r="B245" s="5" t="n">
        <x:v>1</x:v>
      </x:c>
      <x:c r="C245" s="5" t="n">
        <x:v>2</x:v>
      </x:c>
      <x:c r="D245" s="6" t="str">
        <x:v>LAVADORA CONSUL CWN14 14KG</x:v>
      </x:c>
      <x:c r="E245" s="24"/>
      <x:c r="F245" s="24"/>
      <x:c r="G245" s="24"/>
      <x:c r="H245" s="25"/>
      <x:c r="I245" s="25"/>
      <x:c r="J245" s="24"/>
      <x:c r="K245" s="24"/>
      <x:c r="L245" s="24"/>
      <x:c r="M245" s="24"/>
      <x:c r="N245" s="24"/>
      <x:c r="O245" s="26" t="n">
        <x:f t="shared" si="1">SUM(E245:N245)</x:f>
        <x:v>0</x:v>
      </x:c>
      <x:c r="P245" s="26" t="n">
        <x:v>34</x:v>
      </x:c>
      <x:c r="Q245" s="27" t="n">
        <x:f t="shared" si="3">O245-P245</x:f>
        <x:v>-34</x:v>
      </x:c>
      <x:c r="R245" s="16"/>
      <x:c r="S245" s="12"/>
      <x:c r="T245" s="13"/>
      <x:c r="U245" s="13"/>
    </x:row>
    <x:row r="246">
      <x:c r="A246" s="5" t="n">
        <x:v>76492</x:v>
      </x:c>
      <x:c r="B246" s="5" t="n">
        <x:v>1</x:v>
      </x:c>
      <x:c r="C246" s="5" t="n">
        <x:v>3</x:v>
      </x:c>
      <x:c r="D246" s="6" t="str">
        <x:v>LAVADORA CONSUL CWN14 14KG</x:v>
      </x:c>
      <x:c r="E246" s="10"/>
      <x:c r="F246" s="10"/>
      <x:c r="G246" s="10"/>
      <x:c r="H246" s="5"/>
      <x:c r="I246" s="5"/>
      <x:c r="J246" s="10"/>
      <x:c r="K246" s="10"/>
      <x:c r="L246" s="10"/>
      <x:c r="M246" s="10"/>
      <x:c r="N246" s="10"/>
      <x:c r="O246" s="7" t="n">
        <x:f t="shared" si="1">SUM(E246:N246)</x:f>
        <x:v>0</x:v>
      </x:c>
      <x:c r="P246" s="7" t="n">
        <x:v>74</x:v>
      </x:c>
      <x:c r="Q246" s="12" t="n">
        <x:f t="shared" si="3">O246-P246</x:f>
        <x:v>-74</x:v>
      </x:c>
      <x:c r="R246" s="13"/>
      <x:c r="S246" s="12"/>
      <x:c r="T246" s="13"/>
      <x:c r="U246" s="13"/>
    </x:row>
    <x:row r="247">
      <x:c r="A247" s="5" t="n">
        <x:v>76514</x:v>
      </x:c>
      <x:c r="B247" s="5" t="n">
        <x:v>1</x:v>
      </x:c>
      <x:c r="C247" s="5" t="n">
        <x:v>4</x:v>
      </x:c>
      <x:c r="D247" s="6" t="str">
        <x:v>FOGAO ATLAS 5BCS MILAO PLUS MESA INOX</x:v>
      </x:c>
      <x:c r="E247" s="10"/>
      <x:c r="F247" s="10"/>
      <x:c r="G247" s="10"/>
      <x:c r="H247" s="5"/>
      <x:c r="I247" s="5"/>
      <x:c r="J247" s="10"/>
      <x:c r="K247" s="10"/>
      <x:c r="L247" s="5"/>
      <x:c r="M247" s="10"/>
      <x:c r="N247" s="10"/>
      <x:c r="O247" s="7" t="n">
        <x:f t="shared" si="1">SUM(E247:N247)</x:f>
        <x:v>0</x:v>
      </x:c>
      <x:c r="P247" s="7" t="n">
        <x:v>98</x:v>
      </x:c>
      <x:c r="Q247" s="12" t="n">
        <x:f t="shared" si="3">O247-P247</x:f>
        <x:v>-98</x:v>
      </x:c>
      <x:c r="R247" s="13"/>
      <x:c r="S247" s="12"/>
      <x:c r="T247" s="13"/>
      <x:c r="U247" s="13"/>
    </x:row>
    <x:row r="248">
      <x:c r="A248" s="5" t="n">
        <x:v>76514</x:v>
      </x:c>
      <x:c r="B248" s="5" t="n">
        <x:v>3</x:v>
      </x:c>
      <x:c r="C248" s="5" t="n">
        <x:v>4</x:v>
      </x:c>
      <x:c r="D248" s="6" t="str">
        <x:v>FOGAO ATLAS 5BCS MILAO PLUS MESA INOX</x:v>
      </x:c>
      <x:c r="E248" s="10"/>
      <x:c r="F248" s="10"/>
      <x:c r="G248" s="5"/>
      <x:c r="H248" s="10"/>
      <x:c r="I248" s="5"/>
      <x:c r="J248" s="10"/>
      <x:c r="K248" s="10"/>
      <x:c r="L248" s="5" t="n">
        <x:v>2</x:v>
      </x:c>
      <x:c r="M248" s="5"/>
      <x:c r="N248" s="5"/>
      <x:c r="O248" s="7" t="n">
        <x:f t="shared" si="1">SUM(E248:N248)</x:f>
        <x:v>2</x:v>
      </x:c>
      <x:c r="P248" s="7" t="n">
        <x:v>8</x:v>
      </x:c>
      <x:c r="Q248" s="12" t="n">
        <x:f t="shared" si="3">O248-P248</x:f>
        <x:v>-6</x:v>
      </x:c>
      <x:c r="R248" s="13"/>
      <x:c r="S248" s="12"/>
      <x:c r="T248" s="13"/>
      <x:c r="U248" s="13"/>
    </x:row>
    <x:row r="249">
      <x:c r="A249" s="5" t="n">
        <x:v>76515</x:v>
      </x:c>
      <x:c r="B249" s="5" t="n">
        <x:v>3</x:v>
      </x:c>
      <x:c r="C249" s="5" t="n">
        <x:v>4</x:v>
      </x:c>
      <x:c r="D249" s="6" t="str">
        <x:v>FOGAO ATLAS 4BCS MILAO PLUS MESA INOX</x:v>
      </x:c>
      <x:c r="E249" s="10"/>
      <x:c r="F249" s="10"/>
      <x:c r="G249" s="10"/>
      <x:c r="H249" s="5"/>
      <x:c r="I249" s="5"/>
      <x:c r="J249" s="10"/>
      <x:c r="K249" s="10"/>
      <x:c r="L249" s="5" t="n">
        <x:v>2</x:v>
      </x:c>
      <x:c r="M249" s="10"/>
      <x:c r="N249" s="10"/>
      <x:c r="O249" s="7" t="n">
        <x:f t="shared" si="1">SUM(E249:N249)</x:f>
        <x:v>2</x:v>
      </x:c>
      <x:c r="P249" s="7" t="n">
        <x:v>316</x:v>
      </x:c>
      <x:c r="Q249" s="12" t="n">
        <x:f t="shared" si="3">O249-P249</x:f>
        <x:v>-314</x:v>
      </x:c>
      <x:c r="R249" s="16"/>
      <x:c r="S249" s="12"/>
      <x:c r="T249" s="13"/>
      <x:c r="U249" s="13"/>
    </x:row>
    <x:row r="250">
      <x:c r="A250" s="5" t="n">
        <x:v>76522</x:v>
      </x:c>
      <x:c r="B250" s="5" t="n">
        <x:v>1</x:v>
      </x:c>
      <x:c r="C250" s="5" t="n">
        <x:v>0</x:v>
      </x:c>
      <x:c r="D250" s="6" t="str">
        <x:v>FOGAO ATLAS 4BCS MILAO MESA INOX</x:v>
      </x:c>
      <x:c r="E250" s="10"/>
      <x:c r="F250" s="10"/>
      <x:c r="G250" s="10"/>
      <x:c r="H250" s="5"/>
      <x:c r="I250" s="5"/>
      <x:c r="J250" s="10"/>
      <x:c r="K250" s="10"/>
      <x:c r="L250" s="5"/>
      <x:c r="M250" s="5"/>
      <x:c r="N250" s="5"/>
      <x:c r="O250" s="7" t="n">
        <x:f t="shared" si="1">SUM(E250:N250)</x:f>
        <x:v>0</x:v>
      </x:c>
      <x:c r="P250" s="7" t="n">
        <x:v>344</x:v>
      </x:c>
      <x:c r="Q250" s="12" t="n">
        <x:f t="shared" si="3">O250-P250</x:f>
        <x:v>-344</x:v>
      </x:c>
      <x:c r="R250" s="13"/>
      <x:c r="S250" s="12"/>
      <x:c r="T250" s="13"/>
      <x:c r="U250" s="13"/>
    </x:row>
    <x:row r="251">
      <x:c r="A251" s="5" t="n">
        <x:v>76522</x:v>
      </x:c>
      <x:c r="B251" s="5" t="n">
        <x:v>3</x:v>
      </x:c>
      <x:c r="C251" s="5" t="n">
        <x:v>0</x:v>
      </x:c>
      <x:c r="D251" s="6" t="str">
        <x:v>FOGAO ATLAS 4BCS MILAO MESA INOX</x:v>
      </x:c>
      <x:c r="E251" s="10"/>
      <x:c r="F251" s="10"/>
      <x:c r="G251" s="10"/>
      <x:c r="H251" s="5"/>
      <x:c r="I251" s="5"/>
      <x:c r="J251" s="10"/>
      <x:c r="K251" s="10"/>
      <x:c r="L251" s="5" t="n">
        <x:v>3</x:v>
      </x:c>
      <x:c r="M251" s="5"/>
      <x:c r="N251" s="5"/>
      <x:c r="O251" s="7" t="n">
        <x:f t="shared" si="1">SUM(E251:N251)</x:f>
        <x:v>3</x:v>
      </x:c>
      <x:c r="P251" s="7" t="n">
        <x:v>330</x:v>
      </x:c>
      <x:c r="Q251" s="12" t="n">
        <x:f t="shared" si="3">O251-P251</x:f>
        <x:v>-327</x:v>
      </x:c>
      <x:c r="R251" s="16"/>
      <x:c r="S251" s="12"/>
      <x:c r="T251" s="13"/>
      <x:c r="U251" s="13"/>
    </x:row>
    <x:row r="252">
      <x:c r="A252" s="5" t="n">
        <x:v>76564</x:v>
      </x:c>
      <x:c r="B252" s="5" t="n">
        <x:v>3</x:v>
      </x:c>
      <x:c r="C252" s="5" t="n">
        <x:v>4</x:v>
      </x:c>
      <x:c r="D252" s="36" t="str">
        <x:v>TV 50" PHILIPS SMART 4K 50PUG7300</x:v>
      </x:c>
      <x:c r="E252" s="10"/>
      <x:c r="F252" s="10"/>
      <x:c r="G252" s="10"/>
      <x:c r="H252" s="10"/>
      <x:c r="I252" s="5"/>
      <x:c r="J252" s="10"/>
      <x:c r="K252" s="10"/>
      <x:c r="L252" s="5"/>
      <x:c r="M252" s="5"/>
      <x:c r="N252" s="5"/>
      <x:c r="O252" s="7" t="n">
        <x:f t="shared" si="1">SUM(E252:N252)</x:f>
        <x:v>0</x:v>
      </x:c>
      <x:c r="P252" s="7" t="n">
        <x:v>150</x:v>
      </x:c>
      <x:c r="Q252" s="12" t="n">
        <x:f t="shared" si="3">O252-P252</x:f>
        <x:v>-150</x:v>
      </x:c>
      <x:c r="R252" s="13"/>
      <x:c r="S252" s="12"/>
      <x:c r="T252" s="13"/>
      <x:c r="U252" s="13"/>
    </x:row>
    <x:row r="253">
      <x:c r="A253" s="5" t="n">
        <x:v>76660</x:v>
      </x:c>
      <x:c r="B253" s="5" t="n">
        <x:v>1</x:v>
      </x:c>
      <x:c r="C253" s="5" t="n">
        <x:v>2</x:v>
      </x:c>
      <x:c r="D253" s="36" t="str">
        <x:v>BEBEDOURO LIBELL MASTER COLUNA</x:v>
      </x:c>
      <x:c r="E253" s="10"/>
      <x:c r="F253" s="10"/>
      <x:c r="G253" s="5"/>
      <x:c r="H253" s="10"/>
      <x:c r="I253" s="5"/>
      <x:c r="J253" s="10"/>
      <x:c r="K253" s="10"/>
      <x:c r="L253" s="5"/>
      <x:c r="M253" s="5"/>
      <x:c r="N253" s="5"/>
      <x:c r="O253" s="7" t="n">
        <x:f t="shared" si="1">SUM(E253:N253)</x:f>
        <x:v>0</x:v>
      </x:c>
      <x:c r="P253" s="7" t="n">
        <x:v>60</x:v>
      </x:c>
      <x:c r="Q253" s="12" t="n">
        <x:f t="shared" si="3">O253-P253</x:f>
        <x:v>-60</x:v>
      </x:c>
      <x:c r="R253" s="13"/>
      <x:c r="S253" s="12"/>
      <x:c r="T253" s="13"/>
      <x:c r="U253" s="13"/>
    </x:row>
    <x:row r="254">
      <x:c r="A254" s="5" t="n">
        <x:v>76665</x:v>
      </x:c>
      <x:c r="B254" s="5" t="n">
        <x:v>1</x:v>
      </x:c>
      <x:c r="C254" s="5" t="n">
        <x:v>2</x:v>
      </x:c>
      <x:c r="D254" s="6" t="str">
        <x:v>REFRIGERADOR MIDEA F.FREE DUPLEX INVER MD-RT6110 473L</x:v>
      </x:c>
      <x:c r="E254" s="10"/>
      <x:c r="F254" s="10"/>
      <x:c r="G254" s="10"/>
      <x:c r="H254" s="5"/>
      <x:c r="I254" s="5"/>
      <x:c r="J254" s="10"/>
      <x:c r="K254" s="10"/>
      <x:c r="L254" s="10"/>
      <x:c r="M254" s="10"/>
      <x:c r="N254" s="10"/>
      <x:c r="O254" s="7" t="n">
        <x:f t="shared" si="1">SUM(E254:N254)</x:f>
        <x:v>0</x:v>
      </x:c>
      <x:c r="P254" s="7" t="n">
        <x:v>32</x:v>
      </x:c>
      <x:c r="Q254" s="12" t="n">
        <x:f t="shared" si="3">O254-P254</x:f>
        <x:v>-32</x:v>
      </x:c>
      <x:c r="R254" s="16"/>
      <x:c r="S254" s="7"/>
      <x:c r="T254" s="16"/>
      <x:c r="U254" s="16"/>
    </x:row>
    <x:row r="255">
      <x:c r="A255" s="5" t="n">
        <x:v>76665</x:v>
      </x:c>
      <x:c r="B255" s="5" t="n">
        <x:v>1</x:v>
      </x:c>
      <x:c r="C255" s="5" t="n">
        <x:v>3</x:v>
      </x:c>
      <x:c r="D255" s="6" t="str">
        <x:v>REFRIGERADOR MIDEA F.FREE DUPLEX INVER MD-RT6110 473L</x:v>
      </x:c>
      <x:c r="E255" s="10"/>
      <x:c r="F255" s="10"/>
      <x:c r="G255" s="10"/>
      <x:c r="H255" s="5"/>
      <x:c r="I255" s="5"/>
      <x:c r="J255" s="10"/>
      <x:c r="K255" s="10"/>
      <x:c r="L255" s="10"/>
      <x:c r="M255" s="10"/>
      <x:c r="N255" s="10"/>
      <x:c r="O255" s="7" t="n">
        <x:f t="shared" si="1">SUM(E255:N255)</x:f>
        <x:v>0</x:v>
      </x:c>
      <x:c r="P255" s="7" t="n">
        <x:v>72</x:v>
      </x:c>
      <x:c r="Q255" s="12" t="n">
        <x:f t="shared" si="3">O255-P255</x:f>
        <x:v>-72</x:v>
      </x:c>
      <x:c r="R255" s="16"/>
      <x:c r="S255" s="7"/>
      <x:c r="T255" s="16"/>
      <x:c r="U255" s="16"/>
    </x:row>
    <x:row r="256">
      <x:c r="A256" s="5" t="n">
        <x:v>76666</x:v>
      </x:c>
      <x:c r="B256" s="5" t="n">
        <x:v>4</x:v>
      </x:c>
      <x:c r="C256" s="5" t="n">
        <x:v>2</x:v>
      </x:c>
      <x:c r="D256" s="6" t="str">
        <x:v>REFRIGERADOR MIDEA F.FREE DUPLEX INVER MD-RT6110 473L</x:v>
      </x:c>
      <x:c r="E256" s="10"/>
      <x:c r="F256" s="10"/>
      <x:c r="G256" s="10"/>
      <x:c r="H256" s="5"/>
      <x:c r="I256" s="5"/>
      <x:c r="J256" s="10"/>
      <x:c r="K256" s="10"/>
      <x:c r="L256" s="10"/>
      <x:c r="M256" s="10"/>
      <x:c r="N256" s="10"/>
      <x:c r="O256" s="7" t="n">
        <x:f t="shared" si="1">SUM(E256:N256)</x:f>
        <x:v>0</x:v>
      </x:c>
      <x:c r="P256" s="7" t="n">
        <x:v>190</x:v>
      </x:c>
      <x:c r="Q256" s="12" t="n">
        <x:f t="shared" si="3">O256-P256</x:f>
        <x:v>-190</x:v>
      </x:c>
      <x:c r="R256" s="16"/>
      <x:c r="S256" s="7"/>
      <x:c r="T256" s="16"/>
      <x:c r="U256" s="16"/>
    </x:row>
    <x:row r="257">
      <x:c r="A257" s="5" t="n">
        <x:v>76666</x:v>
      </x:c>
      <x:c r="B257" s="5" t="n">
        <x:v>4</x:v>
      </x:c>
      <x:c r="C257" s="5" t="n">
        <x:v>3</x:v>
      </x:c>
      <x:c r="D257" s="6" t="str">
        <x:v>REFRIGERADOR MIDEA F.FREE DUPLEX INVER MD-RT6110 473L</x:v>
      </x:c>
      <x:c r="E257" s="10"/>
      <x:c r="F257" s="10"/>
      <x:c r="G257" s="10"/>
      <x:c r="H257" s="5"/>
      <x:c r="I257" s="5" t="n">
        <x:v>69</x:v>
      </x:c>
      <x:c r="J257" s="10"/>
      <x:c r="K257" s="10"/>
      <x:c r="L257" s="10"/>
      <x:c r="M257" s="10"/>
      <x:c r="N257" s="10"/>
      <x:c r="O257" s="7" t="n">
        <x:f t="shared" si="1">SUM(E257:N257)</x:f>
        <x:v>69</x:v>
      </x:c>
      <x:c r="P257" s="7" t="n">
        <x:v>76</x:v>
      </x:c>
      <x:c r="Q257" s="12" t="n">
        <x:f t="shared" si="3">O257-P257</x:f>
        <x:v>-7</x:v>
      </x:c>
      <x:c r="R257" s="16"/>
      <x:c r="S257" s="7"/>
      <x:c r="T257" s="16"/>
      <x:c r="U257" s="16"/>
    </x:row>
    <x:row r="258">
      <x:c r="A258" s="5" t="n">
        <x:v>82652</x:v>
      </x:c>
      <x:c r="B258" s="5" t="n">
        <x:v>242</x:v>
      </x:c>
      <x:c r="C258" s="5" t="n">
        <x:v>0</x:v>
      </x:c>
      <x:c r="D258" s="6" t="str">
        <x:v>KIT SIENA RORATO 1PT 2GAV/ESPELH/PIA BANHEIRO</x:v>
      </x:c>
      <x:c r="E258" s="10"/>
      <x:c r="F258" s="10"/>
      <x:c r="G258" s="10"/>
      <x:c r="H258" s="10"/>
      <x:c r="I258" s="5"/>
      <x:c r="J258" s="10"/>
      <x:c r="K258" s="10"/>
      <x:c r="L258" s="10"/>
      <x:c r="M258" s="10"/>
      <x:c r="N258" s="10"/>
      <x:c r="O258" s="7" t="n">
        <x:f t="shared" si="1">SUM(E258:N258)</x:f>
        <x:v>0</x:v>
      </x:c>
      <x:c r="P258" s="7" t="n">
        <x:v>52</x:v>
      </x:c>
      <x:c r="Q258" s="12" t="n">
        <x:f t="shared" si="3">O258-P258</x:f>
        <x:v>-52</x:v>
      </x:c>
      <x:c r="R258" s="13"/>
      <x:c r="S258" s="12"/>
      <x:c r="T258" s="13"/>
      <x:c r="U258" s="13"/>
    </x:row>
    <x:row r="259">
      <x:c r="A259" s="5" t="n">
        <x:v>83092</x:v>
      </x:c>
      <x:c r="B259" s="5" t="n">
        <x:v>2935</x:v>
      </x:c>
      <x:c r="C259" s="5" t="n">
        <x:v>0</x:v>
      </x:c>
      <x:c r="D259" s="36" t="str">
        <x:v>EC COZINHA POQUEMA JULIA 8PTS 2G</x:v>
      </x:c>
      <x:c r="E259" s="10"/>
      <x:c r="F259" s="10"/>
      <x:c r="G259" s="5"/>
      <x:c r="H259" s="10"/>
      <x:c r="I259" s="5"/>
      <x:c r="J259" s="10"/>
      <x:c r="K259" s="10"/>
      <x:c r="L259" s="10"/>
      <x:c r="M259" s="10"/>
      <x:c r="N259" s="10"/>
      <x:c r="O259" s="7" t="n">
        <x:f t="shared" si="1">SUM(E259:N259)</x:f>
        <x:v>0</x:v>
      </x:c>
      <x:c r="P259" s="7" t="n">
        <x:v>1</x:v>
      </x:c>
      <x:c r="Q259" s="12" t="n">
        <x:f t="shared" si="3">O259-P259</x:f>
        <x:v>-1</x:v>
      </x:c>
      <x:c r="R259" s="13"/>
      <x:c r="S259" s="12"/>
      <x:c r="T259" s="13"/>
      <x:c r="U259" s="13"/>
    </x:row>
    <x:row r="260">
      <x:c r="A260" s="5" t="n">
        <x:v>83444</x:v>
      </x:c>
      <x:c r="B260" s="5" t="n">
        <x:v>3006</x:v>
      </x:c>
      <x:c r="C260" s="5" t="n">
        <x:v>0</x:v>
      </x:c>
      <x:c r="D260" s="6" t="str">
        <x:v>BACIA RORATO 1,20X0,50 CUBA GRANITADA</x:v>
      </x:c>
      <x:c r="E260" s="10"/>
      <x:c r="F260" s="10"/>
      <x:c r="G260" s="10"/>
      <x:c r="H260" s="10"/>
      <x:c r="I260" s="5"/>
      <x:c r="J260" s="10"/>
      <x:c r="K260" s="10"/>
      <x:c r="L260" s="10"/>
      <x:c r="M260" s="10"/>
      <x:c r="N260" s="10"/>
      <x:c r="O260" s="7" t="n">
        <x:f t="shared" si="1">SUM(E260:N260)</x:f>
        <x:v>0</x:v>
      </x:c>
      <x:c r="P260" s="7" t="n">
        <x:v>61</x:v>
      </x:c>
      <x:c r="Q260" s="12" t="n">
        <x:f t="shared" si="3">O260-P260</x:f>
        <x:v>-61</x:v>
      </x:c>
      <x:c r="R260" s="13"/>
      <x:c r="S260" s="12"/>
      <x:c r="T260" s="13"/>
      <x:c r="U260" s="13"/>
    </x:row>
    <x:row r="261">
      <x:c r="A261" s="5" t="n">
        <x:v>83444</x:v>
      </x:c>
      <x:c r="B261" s="5" t="n">
        <x:v>3007</x:v>
      </x:c>
      <x:c r="C261" s="5" t="n">
        <x:v>0</x:v>
      </x:c>
      <x:c r="D261" s="6" t="str">
        <x:v>BACIA RORATO 1,20X0,50 CUBA GRANITADA</x:v>
      </x:c>
      <x:c r="E261" s="10"/>
      <x:c r="F261" s="10"/>
      <x:c r="G261" s="10"/>
      <x:c r="H261" s="10"/>
      <x:c r="I261" s="5"/>
      <x:c r="J261" s="10"/>
      <x:c r="K261" s="10"/>
      <x:c r="L261" s="10"/>
      <x:c r="M261" s="10"/>
      <x:c r="N261" s="10"/>
      <x:c r="O261" s="7" t="n">
        <x:f t="shared" si="1">SUM(E261:N261)</x:f>
        <x:v>0</x:v>
      </x:c>
      <x:c r="P261" s="7" t="n">
        <x:v>37</x:v>
      </x:c>
      <x:c r="Q261" s="12" t="n">
        <x:f t="shared" si="3">O261-P261</x:f>
        <x:v>-37</x:v>
      </x:c>
      <x:c r="R261" s="13"/>
      <x:c r="S261" s="12"/>
      <x:c r="T261" s="13"/>
      <x:c r="U261" s="13"/>
    </x:row>
    <x:row r="262">
      <x:c r="A262" s="5" t="n">
        <x:v>83445</x:v>
      </x:c>
      <x:c r="B262" s="5" t="n">
        <x:v>3006</x:v>
      </x:c>
      <x:c r="C262" s="5" t="n">
        <x:v>0</x:v>
      </x:c>
      <x:c r="D262" s="6" t="str">
        <x:v>BACIA RORATO 1,50X0,50 CUBA GRANITADA</x:v>
      </x:c>
      <x:c r="E262" s="10"/>
      <x:c r="F262" s="10"/>
      <x:c r="G262" s="10"/>
      <x:c r="H262" s="10"/>
      <x:c r="I262" s="5"/>
      <x:c r="J262" s="10"/>
      <x:c r="K262" s="10"/>
      <x:c r="L262" s="10"/>
      <x:c r="M262" s="10"/>
      <x:c r="N262" s="10"/>
      <x:c r="O262" s="7" t="n">
        <x:f t="shared" si="1">SUM(E262:N262)</x:f>
        <x:v>0</x:v>
      </x:c>
      <x:c r="P262" s="7" t="n">
        <x:v>55</x:v>
      </x:c>
      <x:c r="Q262" s="12" t="n">
        <x:f t="shared" si="3">O262-P262</x:f>
        <x:v>-55</x:v>
      </x:c>
      <x:c r="R262" s="13"/>
      <x:c r="S262" s="12"/>
      <x:c r="T262" s="13"/>
      <x:c r="U262" s="13"/>
    </x:row>
    <x:row r="263">
      <x:c r="A263" s="5" t="n">
        <x:v>83445</x:v>
      </x:c>
      <x:c r="B263" s="5" t="n">
        <x:v>3007</x:v>
      </x:c>
      <x:c r="C263" s="5" t="n">
        <x:v>0</x:v>
      </x:c>
      <x:c r="D263" s="6" t="str">
        <x:v>BACIA RORATO 1,50X0,50 CUBA GRANITADA</x:v>
      </x:c>
      <x:c r="E263" s="10"/>
      <x:c r="F263" s="10"/>
      <x:c r="G263" s="10"/>
      <x:c r="H263" s="10"/>
      <x:c r="I263" s="5"/>
      <x:c r="J263" s="10"/>
      <x:c r="K263" s="10"/>
      <x:c r="L263" s="10"/>
      <x:c r="M263" s="10"/>
      <x:c r="N263" s="10"/>
      <x:c r="O263" s="7" t="n">
        <x:f t="shared" si="1">SUM(E263:N263)</x:f>
        <x:v>0</x:v>
      </x:c>
      <x:c r="P263" s="7" t="n">
        <x:v>33</x:v>
      </x:c>
      <x:c r="Q263" s="12" t="n">
        <x:f t="shared" si="3">O263-P263</x:f>
        <x:v>-33</x:v>
      </x:c>
      <x:c r="R263" s="13"/>
      <x:c r="S263" s="12"/>
      <x:c r="T263" s="13"/>
      <x:c r="U263" s="13"/>
    </x:row>
  </x:sheetData>
  <x:conditionalFormatting sqref="A1:U1">
    <x:cfRule type="notContainsBlanks" dxfId="0" priority="1">
      <x:formula>LEN(TRIM(A1))&gt;0</x:formula>
    </x:cfRule>
  </x:conditionalFormatting>
  <x:conditionalFormatting sqref="A2:R263">
    <x:cfRule type="expression" dxfId="1" priority="2">
      <x:formula>$R2="Inversão"</x:formula>
    </x:cfRule>
  </x:conditionalFormatting>
  <x:conditionalFormatting sqref="A2:R263">
    <x:cfRule type="expression" dxfId="2" priority="3">
      <x:formula>$R2="Outro"</x:formula>
    </x:cfRule>
  </x:conditionalFormatting>
  <x:conditionalFormatting sqref="A1:R263">
    <x:cfRule type="expression" dxfId="3" priority="4">
      <x:formula>$Q1&gt;0</x:formula>
    </x:cfRule>
  </x:conditionalFormatting>
  <x:conditionalFormatting sqref="A1:R263">
    <x:cfRule type="expression" dxfId="4" priority="5">
      <x:formula>$Q1&lt;0</x:formula>
    </x:cfRule>
  </x:conditionalFormatting>
  <x:conditionalFormatting sqref="A1:R263">
    <x:cfRule type="expression" dxfId="5" priority="6">
      <x:formula>$Q1=0</x:formula>
    </x:cfRule>
  </x:conditionalFormatting>
  <x:pageMargins left="0.7" right="0.7" top="0.75" bottom="0.75" header="0.3" footer="0.3"/>
</x:worksheet>
</file>